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T2\"/>
    </mc:Choice>
  </mc:AlternateContent>
  <xr:revisionPtr revIDLastSave="0" documentId="8_{C694D078-4506-4FCA-9B41-0A8784C02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BCCR" sheetId="1" r:id="rId1"/>
    <sheet name="Modelo BCCR (2)" sheetId="2" r:id="rId2"/>
  </sheets>
  <definedNames>
    <definedName name="solver_adj" localSheetId="0" hidden="1">'Modelo BCCR'!$B$2:$C$2</definedName>
    <definedName name="solver_adj" localSheetId="1" hidden="1">'Modelo BCCR (2)'!$B$2:$C$2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'Modelo BCCR'!$B$2</definedName>
    <definedName name="solver_lhs1" localSheetId="1" hidden="1">'Modelo BCCR (2)'!$B$2</definedName>
    <definedName name="solver_lhs2" localSheetId="0" hidden="1">'Modelo BCCR'!$C$2</definedName>
    <definedName name="solver_lhs2" localSheetId="1" hidden="1">'Modelo BCCR (2)'!$C$2</definedName>
    <definedName name="solver_lhs3" localSheetId="0" hidden="1">'Modelo BCCR'!$E$7</definedName>
    <definedName name="solver_lhs3" localSheetId="1" hidden="1">'Modelo BCCR (2)'!$E$7</definedName>
    <definedName name="solver_lhs4" localSheetId="0" hidden="1">'Modelo BCCR'!$E$8</definedName>
    <definedName name="solver_lhs4" localSheetId="1" hidden="1">'Modelo BCCR (2)'!$E$8</definedName>
    <definedName name="solver_lhs5" localSheetId="0" hidden="1">'Modelo BCCR'!$E$9</definedName>
    <definedName name="solver_lhs5" localSheetId="1" hidden="1">'Modelo BCCR (2)'!$E$9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'Modelo BCCR'!$E$4</definedName>
    <definedName name="solver_opt" localSheetId="1" hidden="1">'Modelo BCCR (2)'!$E$4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1</definedName>
    <definedName name="solver_rel4" localSheetId="0" hidden="1">3</definedName>
    <definedName name="solver_rel4" localSheetId="1" hidden="1">1</definedName>
    <definedName name="solver_rel5" localSheetId="0" hidden="1">3</definedName>
    <definedName name="solver_rel5" localSheetId="1" hidden="1">1</definedName>
    <definedName name="solver_rhs1" localSheetId="0" hidden="1">0</definedName>
    <definedName name="solver_rhs1" localSheetId="1" hidden="1">0</definedName>
    <definedName name="solver_rhs2" localSheetId="0" hidden="1">0</definedName>
    <definedName name="solver_rhs2" localSheetId="1" hidden="1">0</definedName>
    <definedName name="solver_rhs3" localSheetId="0" hidden="1">30</definedName>
    <definedName name="solver_rhs3" localSheetId="1" hidden="1">30</definedName>
    <definedName name="solver_rhs4" localSheetId="0" hidden="1">20</definedName>
    <definedName name="solver_rhs4" localSheetId="1" hidden="1">20</definedName>
    <definedName name="solver_rhs5" localSheetId="0" hidden="1">12</definedName>
    <definedName name="solver_rhs5" localSheetId="1" hidden="1">12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9" i="2"/>
  <c r="E8" i="2"/>
  <c r="C4" i="2"/>
  <c r="B4" i="2"/>
  <c r="E4" i="2" l="1"/>
  <c r="E9" i="1" l="1"/>
  <c r="E8" i="1"/>
  <c r="E7" i="1"/>
  <c r="C4" i="1"/>
  <c r="B4" i="1"/>
  <c r="E4" i="1" l="1"/>
</calcChain>
</file>

<file path=xl/sharedStrings.xml><?xml version="1.0" encoding="utf-8"?>
<sst xmlns="http://schemas.openxmlformats.org/spreadsheetml/2006/main" count="34" uniqueCount="14">
  <si>
    <t>Android (X1)</t>
  </si>
  <si>
    <t>Apple (X2)</t>
  </si>
  <si>
    <t>Totales</t>
  </si>
  <si>
    <t>Cantidad de historias</t>
  </si>
  <si>
    <t>Costo por historia</t>
  </si>
  <si>
    <t>Costo total (Z)</t>
  </si>
  <si>
    <t>Restricción</t>
  </si>
  <si>
    <t>Coef. X1</t>
  </si>
  <si>
    <t>Coef. X2</t>
  </si>
  <si>
    <t>≥</t>
  </si>
  <si>
    <t>Uso total</t>
  </si>
  <si>
    <t>Desarrollo (≥ 30)</t>
  </si>
  <si>
    <t>Pruebas (≥ 20)</t>
  </si>
  <si>
    <t>Despliegue (≥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</si>
</sst>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5" width="18" customWidth="1"/>
  </cols>
  <sheetData>
    <row r="1" spans="1:5" x14ac:dyDescent="0.25">
      <c r="B1" t="s">
        <v>0</v>
      </c>
      <c r="C1" t="s">
        <v>1</v>
      </c>
      <c r="E1" t="s">
        <v>2</v>
      </c>
    </row>
    <row r="2" spans="1:5" x14ac:dyDescent="0.25">
      <c r="A2" t="s">
        <v>3</v>
      </c>
      <c r="B2">
        <v>7.5</v>
      </c>
      <c r="C2">
        <v>5</v>
      </c>
    </row>
    <row r="3" spans="1:5" x14ac:dyDescent="0.25">
      <c r="A3" t="s">
        <v>4</v>
      </c>
      <c r="B3">
        <v>150</v>
      </c>
      <c r="C3">
        <v>200</v>
      </c>
    </row>
    <row r="4" spans="1:5" x14ac:dyDescent="0.25">
      <c r="A4" t="s">
        <v>5</v>
      </c>
      <c r="B4">
        <f>B2*B3</f>
        <v>1125</v>
      </c>
      <c r="C4">
        <f>C2*C3</f>
        <v>1000</v>
      </c>
      <c r="E4">
        <f>B4+C4</f>
        <v>2125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A7" t="s">
        <v>11</v>
      </c>
      <c r="B7">
        <v>2</v>
      </c>
      <c r="C7">
        <v>3</v>
      </c>
      <c r="D7" t="s">
        <v>9</v>
      </c>
      <c r="E7">
        <f>2*B2+3*C2</f>
        <v>30</v>
      </c>
    </row>
    <row r="8" spans="1:5" x14ac:dyDescent="0.25">
      <c r="A8" t="s">
        <v>12</v>
      </c>
      <c r="B8">
        <v>2</v>
      </c>
      <c r="C8">
        <v>1</v>
      </c>
      <c r="D8" t="s">
        <v>9</v>
      </c>
      <c r="E8">
        <f>2*B2+1*C2</f>
        <v>20</v>
      </c>
    </row>
    <row r="9" spans="1:5" x14ac:dyDescent="0.25">
      <c r="A9" t="s">
        <v>13</v>
      </c>
      <c r="B9">
        <v>1</v>
      </c>
      <c r="C9">
        <v>1</v>
      </c>
      <c r="D9" t="s">
        <v>9</v>
      </c>
      <c r="E9">
        <f>1*B2+1*C2</f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325B-7DE1-4AEE-A3AC-F6654E9A77EE}">
  <dimension ref="A1:E9"/>
  <sheetViews>
    <sheetView workbookViewId="0">
      <selection activeCell="B2" sqref="B2"/>
    </sheetView>
  </sheetViews>
  <sheetFormatPr baseColWidth="10" defaultColWidth="9.140625" defaultRowHeight="15" x14ac:dyDescent="0.25"/>
  <cols>
    <col min="1" max="5" width="18" customWidth="1"/>
  </cols>
  <sheetData>
    <row r="1" spans="1:5" x14ac:dyDescent="0.25">
      <c r="B1" t="s">
        <v>0</v>
      </c>
      <c r="C1" t="s">
        <v>1</v>
      </c>
      <c r="E1" t="s">
        <v>2</v>
      </c>
    </row>
    <row r="2" spans="1:5" x14ac:dyDescent="0.25">
      <c r="A2" t="s">
        <v>3</v>
      </c>
      <c r="B2">
        <v>0</v>
      </c>
      <c r="C2">
        <v>0</v>
      </c>
    </row>
    <row r="3" spans="1:5" x14ac:dyDescent="0.25">
      <c r="A3" t="s">
        <v>4</v>
      </c>
      <c r="B3">
        <v>150</v>
      </c>
      <c r="C3">
        <v>200</v>
      </c>
    </row>
    <row r="4" spans="1:5" x14ac:dyDescent="0.25">
      <c r="A4" t="s">
        <v>5</v>
      </c>
      <c r="B4">
        <f>B2*B3</f>
        <v>0</v>
      </c>
      <c r="C4">
        <f>C2*C3</f>
        <v>0</v>
      </c>
      <c r="E4">
        <f>B4+C4</f>
        <v>0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A7" t="s">
        <v>11</v>
      </c>
      <c r="B7">
        <v>2</v>
      </c>
      <c r="C7">
        <v>3</v>
      </c>
      <c r="D7" t="s">
        <v>9</v>
      </c>
      <c r="E7">
        <f>2*B2+3*C2</f>
        <v>0</v>
      </c>
    </row>
    <row r="8" spans="1:5" x14ac:dyDescent="0.25">
      <c r="A8" t="s">
        <v>12</v>
      </c>
      <c r="B8">
        <v>2</v>
      </c>
      <c r="C8">
        <v>1</v>
      </c>
      <c r="D8" t="s">
        <v>9</v>
      </c>
      <c r="E8">
        <f>2*B2+1*C2</f>
        <v>0</v>
      </c>
    </row>
    <row r="9" spans="1:5" x14ac:dyDescent="0.25">
      <c r="A9" t="s">
        <v>13</v>
      </c>
      <c r="B9">
        <v>1</v>
      </c>
      <c r="C9">
        <v>1</v>
      </c>
      <c r="D9" t="s">
        <v>9</v>
      </c>
      <c r="E9">
        <f>1*B2+1*C2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BCCR</vt:lpstr>
      <vt:lpstr>Modelo BCCR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</cp:lastModifiedBy>
  <dcterms:created xsi:type="dcterms:W3CDTF">2025-06-22T17:32:57Z</dcterms:created>
  <dcterms:modified xsi:type="dcterms:W3CDTF">2025-06-22T20:34:09Z</dcterms:modified>
</cp:coreProperties>
</file>