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rsonal\Desktop\II CUATRI 2025\OPERACIONES\T2\"/>
    </mc:Choice>
  </mc:AlternateContent>
  <xr:revisionPtr revIDLastSave="0" documentId="13_ncr:1_{C3E92AE5-338F-436C-93F7-AC56EC128BA7}" xr6:coauthVersionLast="47" xr6:coauthVersionMax="47" xr10:uidLastSave="{00000000-0000-0000-0000-000000000000}"/>
  <bookViews>
    <workbookView xWindow="-120" yWindow="-120" windowWidth="29040" windowHeight="15720" activeTab="1" xr2:uid="{A85D2FBB-F2F4-42EA-96F6-53D9BD855AFD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4" i="2" l="1"/>
  <c r="F8" i="2"/>
  <c r="F9" i="2"/>
  <c r="F7" i="2"/>
  <c r="E6" i="3" l="1" a="1"/>
  <c r="E6" i="3" s="1"/>
  <c r="L36" i="1"/>
  <c r="L37" i="1"/>
  <c r="L38" i="1"/>
  <c r="L39" i="1"/>
  <c r="L35" i="1"/>
  <c r="L24" i="1"/>
  <c r="L21" i="1"/>
  <c r="L20" i="1"/>
  <c r="L18" i="1"/>
  <c r="L1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<sst xmlns="http://schemas.openxmlformats.org/spreadsheetml/2006/main" count="85" uniqueCount="63">
  <si>
    <t>Recurso</t>
  </si>
  <si>
    <t>Consumo de recursos por unidad de actividad</t>
  </si>
  <si>
    <t>Productos</t>
  </si>
  <si>
    <t>Restricciones</t>
  </si>
  <si>
    <t>x+3y≤200</t>
  </si>
  <si>
    <t>x</t>
  </si>
  <si>
    <t>y</t>
  </si>
  <si>
    <t>METAL</t>
  </si>
  <si>
    <t>MADERA</t>
  </si>
  <si>
    <t xml:space="preserve">JUEGO </t>
  </si>
  <si>
    <r>
      <t>P</t>
    </r>
    <r>
      <rPr>
        <sz val="10"/>
        <color rgb="FF000000"/>
        <rFont val="Arial"/>
        <family val="2"/>
      </rPr>
      <t>aso</t>
    </r>
  </si>
  <si>
    <t>Calculo</t>
  </si>
  <si>
    <t>Modificador</t>
  </si>
  <si>
    <t>Ecuación 1</t>
  </si>
  <si>
    <t>Ecuación 2</t>
  </si>
  <si>
    <t>x+y≤150</t>
  </si>
  <si>
    <t>*-1</t>
  </si>
  <si>
    <t>Ecuación 3</t>
  </si>
  <si>
    <t>-4x1 + -2x2 = -</t>
  </si>
  <si>
    <t>Suma 1 y 3</t>
  </si>
  <si>
    <t>-1x1 = -40</t>
  </si>
  <si>
    <t>Despejamos x1</t>
  </si>
  <si>
    <t>x1 = -40 / (-1)</t>
  </si>
  <si>
    <t>Resultado</t>
  </si>
  <si>
    <t>x1 = 40</t>
  </si>
  <si>
    <t>PUNTO</t>
  </si>
  <si>
    <t>COORDENA X1</t>
  </si>
  <si>
    <t>COORDENA X2</t>
  </si>
  <si>
    <t xml:space="preserve">VALOR DE LA FUNCIÓN </t>
  </si>
  <si>
    <t>K</t>
  </si>
  <si>
    <t>L</t>
  </si>
  <si>
    <t>E</t>
  </si>
  <si>
    <t>D</t>
  </si>
  <si>
    <t>J</t>
  </si>
  <si>
    <t>VALOR DE LA FUNCIÓN  OBJETIVO</t>
  </si>
  <si>
    <t>FACTIBLE</t>
  </si>
  <si>
    <t>SÍ</t>
  </si>
  <si>
    <t>COORDENADA X1</t>
  </si>
  <si>
    <t>COORDENADA X2</t>
  </si>
  <si>
    <t>Horas de desarrollo</t>
  </si>
  <si>
    <t>Horas de prueba</t>
  </si>
  <si>
    <t>Horas de despliegue</t>
  </si>
  <si>
    <t>x1+x2≥0</t>
  </si>
  <si>
    <t>B</t>
  </si>
  <si>
    <t>C</t>
  </si>
  <si>
    <t>150 USD (5 h × 30 USD/h)</t>
  </si>
  <si>
    <t>200 USD (5 h × 40 USD/h</t>
  </si>
  <si>
    <t>Consumo por historia Android (X₁)</t>
  </si>
  <si>
    <t>Consumo por historia Apple (X₂)</t>
  </si>
  <si>
    <t>Total disponible / mínimo requerido</t>
  </si>
  <si>
    <t>Costo :Contribución a Z</t>
  </si>
  <si>
    <t>2X1​+3X2​≥30</t>
  </si>
  <si>
    <t>2X1​+X2​≥20</t>
  </si>
  <si>
    <t>X1​+X2​≥12</t>
  </si>
  <si>
    <t>I</t>
  </si>
  <si>
    <t>z=30x1+50x2</t>
  </si>
  <si>
    <t>z=30x1+40x2</t>
  </si>
  <si>
    <t>SOLUCIÓN FEV</t>
  </si>
  <si>
    <t>(0,20)</t>
  </si>
  <si>
    <t>(15,0)</t>
  </si>
  <si>
    <t>(0,20), (3,5,5)</t>
  </si>
  <si>
    <t>(3,5,5)</t>
  </si>
  <si>
    <t xml:space="preserve">SOLUCIONES FEV ADYACENTES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</si>
</sst>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7"/>
      <color theme="1"/>
      <name val="Times New Roman"/>
      <family val="1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6D9F1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2" fillId="2" borderId="5" xfId="0" applyFont="1" applyFill="1" applyBorder="1" applyAlignment="1">
      <alignment horizontal="left" vertical="center" wrapText="1" indent="4"/>
    </xf>
    <xf numFmtId="0" fontId="2" fillId="2" borderId="5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4" fillId="3" borderId="4" xfId="0" applyFont="1" applyFill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2" fontId="0" fillId="0" borderId="0" xfId="0" applyNumberFormat="1"/>
    <xf numFmtId="0" fontId="0" fillId="5" borderId="0" xfId="0" applyFill="1"/>
    <xf numFmtId="0" fontId="7" fillId="5" borderId="12" xfId="0" applyFont="1" applyFill="1" applyBorder="1" applyAlignment="1">
      <alignment vertical="center" wrapText="1"/>
    </xf>
    <xf numFmtId="0" fontId="0" fillId="5" borderId="13" xfId="0" applyFill="1" applyBorder="1"/>
    <xf numFmtId="2" fontId="0" fillId="5" borderId="13" xfId="0" applyNumberFormat="1" applyFill="1" applyBorder="1"/>
    <xf numFmtId="0" fontId="7" fillId="4" borderId="3" xfId="0" applyFont="1" applyFill="1" applyBorder="1" applyAlignment="1">
      <alignment vertical="center" wrapText="1"/>
    </xf>
    <xf numFmtId="0" fontId="0" fillId="4" borderId="13" xfId="0" applyFill="1" applyBorder="1"/>
    <xf numFmtId="2" fontId="0" fillId="4" borderId="13" xfId="0" applyNumberFormat="1" applyFill="1" applyBorder="1"/>
    <xf numFmtId="0" fontId="7" fillId="6" borderId="4" xfId="0" applyFont="1" applyFill="1" applyBorder="1" applyAlignment="1">
      <alignment vertical="center" wrapText="1"/>
    </xf>
    <xf numFmtId="0" fontId="0" fillId="6" borderId="0" xfId="0" applyFill="1"/>
    <xf numFmtId="2" fontId="0" fillId="6" borderId="0" xfId="0" applyNumberFormat="1" applyFill="1"/>
    <xf numFmtId="0" fontId="0" fillId="6" borderId="13" xfId="0" applyFill="1" applyBorder="1"/>
    <xf numFmtId="2" fontId="0" fillId="6" borderId="13" xfId="0" applyNumberFormat="1" applyFill="1" applyBorder="1"/>
    <xf numFmtId="0" fontId="8" fillId="7" borderId="1" xfId="0" applyFont="1" applyFill="1" applyBorder="1" applyAlignment="1">
      <alignment vertical="center" wrapText="1"/>
    </xf>
    <xf numFmtId="0" fontId="9" fillId="7" borderId="5" xfId="0" applyFont="1" applyFill="1" applyBorder="1" applyAlignment="1">
      <alignment vertical="center" wrapText="1"/>
    </xf>
    <xf numFmtId="0" fontId="9" fillId="8" borderId="4" xfId="0" applyFont="1" applyFill="1" applyBorder="1" applyAlignment="1">
      <alignment horizontal="left" vertical="center" wrapText="1" indent="2"/>
    </xf>
    <xf numFmtId="0" fontId="8" fillId="0" borderId="7" xfId="0" applyFont="1" applyBorder="1" applyAlignment="1">
      <alignment horizontal="left" vertical="center" wrapText="1" indent="1"/>
    </xf>
    <xf numFmtId="0" fontId="8" fillId="0" borderId="7" xfId="0" applyFont="1" applyBorder="1" applyAlignment="1">
      <alignment horizontal="center" vertical="center" wrapText="1"/>
    </xf>
    <xf numFmtId="0" fontId="10" fillId="8" borderId="3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vertical="center" wrapText="1"/>
    </xf>
    <xf numFmtId="0" fontId="8" fillId="0" borderId="7" xfId="0" applyFont="1" applyBorder="1" applyAlignment="1">
      <alignment horizontal="left" vertical="center" wrapText="1" indent="3"/>
    </xf>
    <xf numFmtId="0" fontId="9" fillId="8" borderId="4" xfId="0" applyFont="1" applyFill="1" applyBorder="1" applyAlignment="1">
      <alignment vertical="center" wrapText="1"/>
    </xf>
    <xf numFmtId="0" fontId="8" fillId="0" borderId="7" xfId="0" applyFont="1" applyBorder="1" applyAlignment="1">
      <alignment horizontal="left" vertical="center" wrapText="1" indent="4"/>
    </xf>
    <xf numFmtId="0" fontId="0" fillId="10" borderId="0" xfId="0" applyFill="1"/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10" borderId="13" xfId="0" applyFill="1" applyBorder="1" applyAlignment="1">
      <alignment horizontal="center"/>
    </xf>
    <xf numFmtId="0" fontId="12" fillId="0" borderId="27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6" borderId="24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6" borderId="25" xfId="0" applyFill="1" applyBorder="1" applyAlignment="1">
      <alignment horizontal="center"/>
    </xf>
    <xf numFmtId="0" fontId="0" fillId="10" borderId="24" xfId="0" applyFill="1" applyBorder="1" applyAlignment="1">
      <alignment horizontal="center"/>
    </xf>
    <xf numFmtId="0" fontId="0" fillId="10" borderId="28" xfId="0" applyFill="1" applyBorder="1" applyAlignment="1">
      <alignment horizontal="center"/>
    </xf>
    <xf numFmtId="0" fontId="13" fillId="0" borderId="0" xfId="0" applyFont="1"/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5" borderId="20" xfId="0" applyFill="1" applyBorder="1" applyAlignment="1">
      <alignment horizontal="center"/>
    </xf>
    <xf numFmtId="0" fontId="0" fillId="5" borderId="21" xfId="0" applyFill="1" applyBorder="1" applyAlignment="1">
      <alignment horizontal="center"/>
    </xf>
    <xf numFmtId="0" fontId="0" fillId="4" borderId="20" xfId="0" applyFill="1" applyBorder="1" applyAlignment="1">
      <alignment horizontal="center"/>
    </xf>
    <xf numFmtId="0" fontId="0" fillId="4" borderId="21" xfId="0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9" fillId="8" borderId="18" xfId="0" applyFont="1" applyFill="1" applyBorder="1" applyAlignment="1">
      <alignment horizontal="center" vertical="center" wrapText="1"/>
    </xf>
    <xf numFmtId="0" fontId="9" fillId="8" borderId="19" xfId="0" applyFont="1" applyFill="1" applyBorder="1" applyAlignment="1">
      <alignment horizontal="center" vertical="center" wrapText="1"/>
    </xf>
    <xf numFmtId="0" fontId="0" fillId="9" borderId="18" xfId="0" applyFill="1" applyBorder="1" applyAlignment="1">
      <alignment horizontal="center"/>
    </xf>
    <xf numFmtId="0" fontId="0" fillId="9" borderId="19" xfId="0" applyFill="1" applyBorder="1" applyAlignment="1">
      <alignment horizontal="center"/>
    </xf>
    <xf numFmtId="0" fontId="1" fillId="0" borderId="0" xfId="0" applyFont="1" applyBorder="1" applyAlignment="1">
      <alignment vertical="center" wrapText="1"/>
    </xf>
    <xf numFmtId="0" fontId="9" fillId="8" borderId="14" xfId="0" applyFont="1" applyFill="1" applyBorder="1" applyAlignment="1">
      <alignment horizontal="center" vertical="center" wrapText="1"/>
    </xf>
    <xf numFmtId="0" fontId="9" fillId="8" borderId="16" xfId="0" applyFont="1" applyFill="1" applyBorder="1" applyAlignment="1">
      <alignment horizontal="center" vertical="center" wrapText="1"/>
    </xf>
    <xf numFmtId="0" fontId="9" fillId="8" borderId="15" xfId="0" applyFont="1" applyFill="1" applyBorder="1" applyAlignment="1">
      <alignment horizontal="center" vertical="center" wrapText="1"/>
    </xf>
    <xf numFmtId="0" fontId="9" fillId="8" borderId="17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14" fillId="0" borderId="30" xfId="0" applyFont="1" applyBorder="1" applyAlignment="1">
      <alignment horizontal="center"/>
    </xf>
    <xf numFmtId="0" fontId="7" fillId="6" borderId="7" xfId="0" applyFont="1" applyFill="1" applyBorder="1" applyAlignment="1">
      <alignment vertical="center" wrapText="1"/>
    </xf>
    <xf numFmtId="0" fontId="7" fillId="6" borderId="2" xfId="0" applyFont="1" applyFill="1" applyBorder="1" applyAlignment="1">
      <alignment vertical="center" wrapText="1"/>
    </xf>
    <xf numFmtId="0" fontId="7" fillId="6" borderId="8" xfId="0" applyFont="1" applyFill="1" applyBorder="1" applyAlignment="1">
      <alignment vertical="center" wrapText="1"/>
    </xf>
    <xf numFmtId="0" fontId="6" fillId="6" borderId="7" xfId="0" applyFont="1" applyFill="1" applyBorder="1" applyAlignment="1">
      <alignment vertical="center" wrapText="1"/>
    </xf>
    <xf numFmtId="0" fontId="6" fillId="6" borderId="4" xfId="0" applyFont="1" applyFill="1" applyBorder="1" applyAlignment="1">
      <alignment vertical="center" wrapText="1"/>
    </xf>
    <xf numFmtId="0" fontId="0" fillId="6" borderId="28" xfId="0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2" xfId="0" applyBorder="1"/>
    <xf numFmtId="0" fontId="0" fillId="0" borderId="31" xfId="0" applyBorder="1" applyAlignment="1">
      <alignment horizontal="center"/>
    </xf>
    <xf numFmtId="0" fontId="0" fillId="0" borderId="16" xfId="0" applyBorder="1" applyAlignment="1">
      <alignment horizontal="center"/>
    </xf>
    <xf numFmtId="49" fontId="0" fillId="0" borderId="13" xfId="0" applyNumberFormat="1" applyBorder="1" applyAlignment="1">
      <alignment horizontal="center"/>
    </xf>
    <xf numFmtId="49" fontId="0" fillId="0" borderId="13" xfId="0" applyNumberFormat="1" applyBorder="1" applyAlignment="1">
      <alignment horizontal="left"/>
    </xf>
    <xf numFmtId="49" fontId="0" fillId="0" borderId="28" xfId="0" applyNumberFormat="1" applyBorder="1" applyAlignment="1">
      <alignment horizontal="left"/>
    </xf>
    <xf numFmtId="49" fontId="0" fillId="0" borderId="26" xfId="0" applyNumberFormat="1" applyBorder="1" applyAlignment="1">
      <alignment horizontal="center"/>
    </xf>
    <xf numFmtId="49" fontId="0" fillId="0" borderId="26" xfId="0" applyNumberFormat="1" applyBorder="1" applyAlignment="1">
      <alignment horizontal="left"/>
    </xf>
    <xf numFmtId="49" fontId="0" fillId="0" borderId="29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123825</xdr:colOff>
      <xdr:row>39</xdr:row>
      <xdr:rowOff>95250</xdr:rowOff>
    </xdr:from>
    <xdr:to>
      <xdr:col>5</xdr:col>
      <xdr:colOff>965200</xdr:colOff>
      <xdr:row>40</xdr:row>
      <xdr:rowOff>130175</xdr:rowOff>
    </xdr:to>
    <xdr:pic>
      <xdr:nvPicPr>
        <xdr:cNvPr id="4" name="Picture 1" title="Z subíndice m a x fin subíndice igual 1000 espacio x subíndice 1 espacio más 2000 espacio x subíndice 2">
          <a:extLst>
            <a:ext uri="{FF2B5EF4-FFF2-40B4-BE49-F238E27FC236}">
              <a16:creationId xmlns:a16="http://schemas.microsoft.com/office/drawing/2014/main" id="{8121D781-41B5-4A60-AD0D-74D349D829B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67150" y="7972425"/>
          <a:ext cx="2155825" cy="225425"/>
        </a:xfrm>
        <a:prstGeom prst="rect">
          <a:avLst/>
        </a:prstGeom>
      </xdr:spPr>
    </xdr:pic>
    <xdr:clientData/>
  </xdr:twoCellAnchor>
  <xdr:twoCellAnchor editAs="oneCell">
    <xdr:from>
      <xdr:col>4</xdr:col>
      <xdr:colOff>142875</xdr:colOff>
      <xdr:row>41</xdr:row>
      <xdr:rowOff>114300</xdr:rowOff>
    </xdr:from>
    <xdr:to>
      <xdr:col>5</xdr:col>
      <xdr:colOff>1543050</xdr:colOff>
      <xdr:row>41</xdr:row>
      <xdr:rowOff>341630</xdr:rowOff>
    </xdr:to>
    <xdr:pic>
      <xdr:nvPicPr>
        <xdr:cNvPr id="5" name="Picture 1" title="Z subíndice m a x fin subíndice igual 1000 espacio abrir paréntesis 125 cerrar paréntesis espacio más 2000 espacio abrir paréntesis 25 cerrar paréntesis">
          <a:extLst>
            <a:ext uri="{FF2B5EF4-FFF2-40B4-BE49-F238E27FC236}">
              <a16:creationId xmlns:a16="http://schemas.microsoft.com/office/drawing/2014/main" id="{46810AD3-C684-421D-804E-718B1BC58465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6200" y="8382000"/>
          <a:ext cx="2781300" cy="227330"/>
        </a:xfrm>
        <a:prstGeom prst="rect">
          <a:avLst/>
        </a:prstGeom>
      </xdr:spPr>
    </xdr:pic>
    <xdr:clientData/>
  </xdr:twoCellAnchor>
  <xdr:twoCellAnchor editAs="oneCell">
    <xdr:from>
      <xdr:col>4</xdr:col>
      <xdr:colOff>200025</xdr:colOff>
      <xdr:row>42</xdr:row>
      <xdr:rowOff>85725</xdr:rowOff>
    </xdr:from>
    <xdr:to>
      <xdr:col>5</xdr:col>
      <xdr:colOff>17780</xdr:colOff>
      <xdr:row>42</xdr:row>
      <xdr:rowOff>313055</xdr:rowOff>
    </xdr:to>
    <xdr:pic>
      <xdr:nvPicPr>
        <xdr:cNvPr id="6" name="Picture 1" title="Z subíndice m a x fin subíndice igual 175000">
          <a:extLst>
            <a:ext uri="{FF2B5EF4-FFF2-40B4-BE49-F238E27FC236}">
              <a16:creationId xmlns:a16="http://schemas.microsoft.com/office/drawing/2014/main" id="{2EAC8A95-37F7-4E65-A730-1114D9FC1023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43350" y="8801100"/>
          <a:ext cx="1198880" cy="227330"/>
        </a:xfrm>
        <a:prstGeom prst="rect">
          <a:avLst/>
        </a:prstGeom>
      </xdr:spPr>
    </xdr:pic>
    <xdr:clientData/>
  </xdr:twoCellAnchor>
  <xdr:twoCellAnchor editAs="oneCell">
    <xdr:from>
      <xdr:col>4</xdr:col>
      <xdr:colOff>142875</xdr:colOff>
      <xdr:row>43</xdr:row>
      <xdr:rowOff>123825</xdr:rowOff>
    </xdr:from>
    <xdr:to>
      <xdr:col>5</xdr:col>
      <xdr:colOff>1122680</xdr:colOff>
      <xdr:row>43</xdr:row>
      <xdr:rowOff>349250</xdr:rowOff>
    </xdr:to>
    <xdr:pic>
      <xdr:nvPicPr>
        <xdr:cNvPr id="7" name="Picture 1" title="1000 espacio x subíndice 1 espacio más 2000 espacio x subíndice 2 igual 175000">
          <a:extLst>
            <a:ext uri="{FF2B5EF4-FFF2-40B4-BE49-F238E27FC236}">
              <a16:creationId xmlns:a16="http://schemas.microsoft.com/office/drawing/2014/main" id="{9BC30833-FDF3-4145-92A0-8179F7A137BB}"/>
            </a:ext>
          </a:extLst>
        </xdr:cNvPr>
        <xdr:cNvPicPr/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6200" y="9248775"/>
          <a:ext cx="2360930" cy="225425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152400</xdr:colOff>
      <xdr:row>43</xdr:row>
      <xdr:rowOff>142875</xdr:rowOff>
    </xdr:from>
    <xdr:to>
      <xdr:col>3</xdr:col>
      <xdr:colOff>1270000</xdr:colOff>
      <xdr:row>43</xdr:row>
      <xdr:rowOff>366395</xdr:rowOff>
    </xdr:to>
    <xdr:pic>
      <xdr:nvPicPr>
        <xdr:cNvPr id="8" name="Picture 1" title="Z igual 1000 espacio x subíndice 1 espacio más 2000 espacio x subíndice 2">
          <a:extLst>
            <a:ext uri="{FF2B5EF4-FFF2-40B4-BE49-F238E27FC236}">
              <a16:creationId xmlns:a16="http://schemas.microsoft.com/office/drawing/2014/main" id="{F250869E-DA1B-43D4-BEE1-B1AC002EE041}"/>
            </a:ext>
          </a:extLst>
        </xdr:cNvPr>
        <xdr:cNvPicPr/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0" y="9267825"/>
          <a:ext cx="1879600" cy="2235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9E5A3-4242-4D92-8965-6EEE65551130}">
  <dimension ref="C4:L44"/>
  <sheetViews>
    <sheetView showGridLines="0" topLeftCell="B20" workbookViewId="0">
      <selection activeCell="I22" sqref="I22"/>
    </sheetView>
  </sheetViews>
  <sheetFormatPr baseColWidth="10" defaultRowHeight="15" x14ac:dyDescent="0.25"/>
  <cols>
    <col min="4" max="4" width="25" customWidth="1"/>
    <col min="5" max="5" width="20.7109375" customWidth="1"/>
    <col min="6" max="6" width="26.85546875" customWidth="1"/>
    <col min="7" max="7" width="26.7109375" customWidth="1"/>
    <col min="9" max="9" width="14.7109375" customWidth="1"/>
  </cols>
  <sheetData>
    <row r="4" spans="4:12" ht="15.75" thickBot="1" x14ac:dyDescent="0.3"/>
    <row r="5" spans="4:12" ht="15" customHeight="1" x14ac:dyDescent="0.25">
      <c r="D5" s="44" t="s">
        <v>0</v>
      </c>
      <c r="E5" s="59" t="s">
        <v>1</v>
      </c>
      <c r="F5" s="60"/>
      <c r="G5" s="44" t="s">
        <v>49</v>
      </c>
    </row>
    <row r="6" spans="4:12" ht="15.75" customHeight="1" thickBot="1" x14ac:dyDescent="0.3">
      <c r="D6" s="45"/>
      <c r="E6" s="61"/>
      <c r="F6" s="62"/>
      <c r="G6" s="45"/>
    </row>
    <row r="7" spans="4:12" ht="17.25" customHeight="1" thickBot="1" x14ac:dyDescent="0.3">
      <c r="D7" s="45"/>
      <c r="E7" s="63" t="s">
        <v>2</v>
      </c>
      <c r="F7" s="64"/>
      <c r="G7" s="45"/>
    </row>
    <row r="8" spans="4:12" ht="48" thickBot="1" x14ac:dyDescent="0.3">
      <c r="D8" s="46"/>
      <c r="E8" s="1" t="s">
        <v>47</v>
      </c>
      <c r="F8" s="2" t="s">
        <v>48</v>
      </c>
      <c r="G8" s="46"/>
    </row>
    <row r="9" spans="4:12" ht="15.75" thickBot="1" x14ac:dyDescent="0.3">
      <c r="D9" s="3" t="s">
        <v>39</v>
      </c>
      <c r="E9" s="4">
        <v>2</v>
      </c>
      <c r="F9" s="4">
        <v>3</v>
      </c>
      <c r="G9" s="4">
        <v>30</v>
      </c>
    </row>
    <row r="10" spans="4:12" ht="15.75" thickBot="1" x14ac:dyDescent="0.3">
      <c r="D10" s="3" t="s">
        <v>40</v>
      </c>
      <c r="E10" s="4">
        <v>2</v>
      </c>
      <c r="F10" s="4">
        <v>1</v>
      </c>
      <c r="G10" s="4">
        <v>20</v>
      </c>
    </row>
    <row r="11" spans="4:12" ht="15" customHeight="1" thickBot="1" x14ac:dyDescent="0.3">
      <c r="D11" s="3" t="s">
        <v>41</v>
      </c>
      <c r="E11" s="4">
        <v>1</v>
      </c>
      <c r="F11" s="4">
        <v>1</v>
      </c>
      <c r="G11" s="4">
        <v>12</v>
      </c>
    </row>
    <row r="12" spans="4:12" ht="30.75" thickBot="1" x14ac:dyDescent="0.3">
      <c r="D12" s="5" t="s">
        <v>50</v>
      </c>
      <c r="E12" s="74">
        <v>150</v>
      </c>
      <c r="F12" s="74">
        <v>200</v>
      </c>
      <c r="G12" s="6"/>
    </row>
    <row r="13" spans="4:12" ht="15.75" thickBot="1" x14ac:dyDescent="0.3">
      <c r="E13" s="75" t="s">
        <v>45</v>
      </c>
      <c r="F13" s="75" t="s">
        <v>46</v>
      </c>
    </row>
    <row r="14" spans="4:12" ht="15.75" thickBot="1" x14ac:dyDescent="0.3"/>
    <row r="15" spans="4:12" ht="15.75" thickBot="1" x14ac:dyDescent="0.3">
      <c r="D15" s="7" t="s">
        <v>3</v>
      </c>
      <c r="E15" s="8"/>
    </row>
    <row r="16" spans="4:12" ht="15.75" thickBot="1" x14ac:dyDescent="0.3">
      <c r="D16" s="17">
        <v>1</v>
      </c>
      <c r="E16" s="76" t="s">
        <v>51</v>
      </c>
      <c r="I16" s="11" t="s">
        <v>3</v>
      </c>
      <c r="J16" s="10"/>
      <c r="K16" s="10"/>
      <c r="L16" s="10"/>
    </row>
    <row r="17" spans="4:12" x14ac:dyDescent="0.25">
      <c r="D17" s="77">
        <v>2</v>
      </c>
      <c r="E17" s="78" t="s">
        <v>52</v>
      </c>
      <c r="H17" s="47" t="s">
        <v>7</v>
      </c>
      <c r="I17" s="12" t="s">
        <v>5</v>
      </c>
      <c r="J17" s="12">
        <v>1</v>
      </c>
      <c r="K17" s="12">
        <v>200</v>
      </c>
      <c r="L17" s="13">
        <f>+K17/J17</f>
        <v>200</v>
      </c>
    </row>
    <row r="18" spans="4:12" ht="15.75" thickBot="1" x14ac:dyDescent="0.3">
      <c r="D18" s="80">
        <v>3</v>
      </c>
      <c r="E18" s="79" t="s">
        <v>53</v>
      </c>
      <c r="H18" s="48"/>
      <c r="I18" s="12" t="s">
        <v>6</v>
      </c>
      <c r="J18" s="12">
        <v>3</v>
      </c>
      <c r="K18" s="12">
        <v>200</v>
      </c>
      <c r="L18" s="13">
        <f>+K18/J18</f>
        <v>66.666666666666671</v>
      </c>
    </row>
    <row r="19" spans="4:12" ht="15.75" thickBot="1" x14ac:dyDescent="0.3">
      <c r="D19" s="80">
        <v>4</v>
      </c>
      <c r="E19" s="79" t="s">
        <v>42</v>
      </c>
      <c r="I19" s="14" t="s">
        <v>3</v>
      </c>
      <c r="L19" s="9"/>
    </row>
    <row r="20" spans="4:12" x14ac:dyDescent="0.25">
      <c r="H20" s="49" t="s">
        <v>8</v>
      </c>
      <c r="I20" s="15" t="s">
        <v>5</v>
      </c>
      <c r="J20" s="15">
        <v>1</v>
      </c>
      <c r="K20" s="15">
        <v>150</v>
      </c>
      <c r="L20" s="16">
        <f t="shared" ref="L20:L24" si="0">+K20/J20</f>
        <v>150</v>
      </c>
    </row>
    <row r="21" spans="4:12" ht="15.75" thickBot="1" x14ac:dyDescent="0.3">
      <c r="H21" s="50"/>
      <c r="I21" s="15" t="s">
        <v>6</v>
      </c>
      <c r="J21" s="15">
        <v>1</v>
      </c>
      <c r="K21" s="15">
        <v>150</v>
      </c>
      <c r="L21" s="16">
        <f t="shared" si="0"/>
        <v>150</v>
      </c>
    </row>
    <row r="22" spans="4:12" ht="15.75" thickBot="1" x14ac:dyDescent="0.3">
      <c r="I22" s="17" t="s">
        <v>3</v>
      </c>
      <c r="J22" s="18"/>
      <c r="K22" s="18"/>
      <c r="L22" s="19"/>
    </row>
    <row r="23" spans="4:12" x14ac:dyDescent="0.25">
      <c r="H23" s="51" t="s">
        <v>9</v>
      </c>
      <c r="I23" s="18"/>
      <c r="J23" s="18"/>
      <c r="K23" s="18"/>
      <c r="L23" s="19"/>
    </row>
    <row r="24" spans="4:12" ht="15.75" thickBot="1" x14ac:dyDescent="0.3">
      <c r="H24" s="52"/>
      <c r="I24" s="20" t="s">
        <v>6</v>
      </c>
      <c r="J24" s="20">
        <v>1</v>
      </c>
      <c r="K24" s="20">
        <v>60</v>
      </c>
      <c r="L24" s="21">
        <f t="shared" si="0"/>
        <v>60</v>
      </c>
    </row>
    <row r="25" spans="4:12" ht="15.75" thickBot="1" x14ac:dyDescent="0.3"/>
    <row r="26" spans="4:12" ht="15.75" thickBot="1" x14ac:dyDescent="0.3">
      <c r="D26" s="22" t="s">
        <v>10</v>
      </c>
      <c r="E26" s="23" t="s">
        <v>11</v>
      </c>
      <c r="F26" s="23" t="s">
        <v>12</v>
      </c>
    </row>
    <row r="27" spans="4:12" ht="15.75" thickBot="1" x14ac:dyDescent="0.3">
      <c r="D27" s="24" t="s">
        <v>13</v>
      </c>
      <c r="E27" s="25" t="s">
        <v>4</v>
      </c>
      <c r="F27" s="6"/>
    </row>
    <row r="28" spans="4:12" ht="15.75" thickBot="1" x14ac:dyDescent="0.3">
      <c r="D28" s="24" t="s">
        <v>14</v>
      </c>
      <c r="E28" s="25" t="s">
        <v>15</v>
      </c>
      <c r="F28" s="26" t="s">
        <v>16</v>
      </c>
    </row>
    <row r="29" spans="4:12" ht="15" customHeight="1" x14ac:dyDescent="0.25">
      <c r="D29" s="27"/>
      <c r="E29" s="56" t="s">
        <v>18</v>
      </c>
      <c r="F29" s="53"/>
    </row>
    <row r="30" spans="4:12" x14ac:dyDescent="0.25">
      <c r="D30" s="28"/>
      <c r="E30" s="57"/>
      <c r="F30" s="54"/>
    </row>
    <row r="31" spans="4:12" ht="15.75" thickBot="1" x14ac:dyDescent="0.3">
      <c r="D31" s="24" t="s">
        <v>17</v>
      </c>
      <c r="E31" s="58"/>
      <c r="F31" s="55"/>
    </row>
    <row r="32" spans="4:12" ht="15.75" thickBot="1" x14ac:dyDescent="0.3">
      <c r="D32" s="24" t="s">
        <v>19</v>
      </c>
      <c r="E32" s="29" t="s">
        <v>20</v>
      </c>
      <c r="F32" s="6"/>
    </row>
    <row r="33" spans="3:12" ht="15.75" thickBot="1" x14ac:dyDescent="0.3">
      <c r="D33" s="30" t="s">
        <v>21</v>
      </c>
      <c r="E33" s="25" t="s">
        <v>22</v>
      </c>
      <c r="F33" s="6"/>
    </row>
    <row r="34" spans="3:12" ht="15.75" thickBot="1" x14ac:dyDescent="0.3">
      <c r="D34" s="24" t="s">
        <v>23</v>
      </c>
      <c r="E34" s="31" t="s">
        <v>24</v>
      </c>
      <c r="F34" s="6"/>
      <c r="H34" t="s">
        <v>25</v>
      </c>
      <c r="I34" t="s">
        <v>26</v>
      </c>
      <c r="J34" t="s">
        <v>27</v>
      </c>
      <c r="L34" t="s">
        <v>28</v>
      </c>
    </row>
    <row r="35" spans="3:12" x14ac:dyDescent="0.25">
      <c r="H35" t="s">
        <v>29</v>
      </c>
      <c r="I35">
        <v>0</v>
      </c>
      <c r="J35">
        <v>60</v>
      </c>
      <c r="L35">
        <f>1000*I35+2000*J35</f>
        <v>120000</v>
      </c>
    </row>
    <row r="36" spans="3:12" x14ac:dyDescent="0.25">
      <c r="H36" t="s">
        <v>30</v>
      </c>
      <c r="I36">
        <v>20</v>
      </c>
      <c r="J36">
        <v>60</v>
      </c>
      <c r="L36">
        <f t="shared" ref="L36:L39" si="1">1000*I36+2000*J36</f>
        <v>140000</v>
      </c>
    </row>
    <row r="37" spans="3:12" x14ac:dyDescent="0.25">
      <c r="G37" s="32"/>
      <c r="H37" s="32" t="s">
        <v>31</v>
      </c>
      <c r="I37" s="32">
        <v>125</v>
      </c>
      <c r="J37" s="32">
        <v>25</v>
      </c>
      <c r="K37" s="32"/>
      <c r="L37" s="32">
        <f t="shared" si="1"/>
        <v>175000</v>
      </c>
    </row>
    <row r="38" spans="3:12" x14ac:dyDescent="0.25">
      <c r="H38" t="s">
        <v>32</v>
      </c>
      <c r="I38">
        <v>150</v>
      </c>
      <c r="J38">
        <v>0</v>
      </c>
      <c r="L38">
        <f t="shared" si="1"/>
        <v>150000</v>
      </c>
    </row>
    <row r="39" spans="3:12" ht="12" customHeight="1" thickBot="1" x14ac:dyDescent="0.3">
      <c r="H39" t="s">
        <v>33</v>
      </c>
      <c r="I39">
        <v>0</v>
      </c>
      <c r="J39">
        <v>0</v>
      </c>
      <c r="L39">
        <f t="shared" si="1"/>
        <v>0</v>
      </c>
    </row>
    <row r="40" spans="3:12" x14ac:dyDescent="0.25">
      <c r="D40" s="69"/>
      <c r="E40" s="70"/>
      <c r="F40" s="71"/>
    </row>
    <row r="41" spans="3:12" ht="15.75" thickBot="1" x14ac:dyDescent="0.3">
      <c r="D41" s="69"/>
      <c r="E41" s="72"/>
      <c r="F41" s="73"/>
    </row>
    <row r="42" spans="3:12" ht="35.25" customHeight="1" thickBot="1" x14ac:dyDescent="0.3">
      <c r="D42" s="69"/>
      <c r="E42" s="65"/>
      <c r="F42" s="66"/>
    </row>
    <row r="43" spans="3:12" ht="32.25" customHeight="1" thickBot="1" x14ac:dyDescent="0.3">
      <c r="D43" s="69"/>
      <c r="E43" s="65"/>
      <c r="F43" s="66"/>
    </row>
    <row r="44" spans="3:12" ht="33" customHeight="1" thickBot="1" x14ac:dyDescent="0.3">
      <c r="C44" s="67"/>
      <c r="D44" s="68"/>
      <c r="E44" s="65"/>
      <c r="F44" s="66"/>
    </row>
  </sheetData>
  <mergeCells count="15">
    <mergeCell ref="C44:D44"/>
    <mergeCell ref="D40:D43"/>
    <mergeCell ref="E40:F41"/>
    <mergeCell ref="E42:F42"/>
    <mergeCell ref="E43:F43"/>
    <mergeCell ref="F29:F31"/>
    <mergeCell ref="E29:E31"/>
    <mergeCell ref="E5:F6"/>
    <mergeCell ref="E7:F7"/>
    <mergeCell ref="E44:F44"/>
    <mergeCell ref="D5:D8"/>
    <mergeCell ref="H17:H18"/>
    <mergeCell ref="H20:H21"/>
    <mergeCell ref="H23:H24"/>
    <mergeCell ref="G5:G8"/>
  </mergeCells>
  <phoneticPr fontId="11" type="noConversion"/>
  <pageMargins left="0.7" right="0.7" top="0.75" bottom="0.75" header="0.3" footer="0.3"/>
  <pageSetup orientation="portrait" horizontalDpi="4294967292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DBA22-3913-4224-82D4-4DA32E0332C2}">
  <dimension ref="C5:N14"/>
  <sheetViews>
    <sheetView tabSelected="1" topLeftCell="B1" workbookViewId="0">
      <selection activeCell="J6" sqref="J6:N9"/>
    </sheetView>
  </sheetViews>
  <sheetFormatPr baseColWidth="10" defaultRowHeight="15" x14ac:dyDescent="0.25"/>
  <cols>
    <col min="4" max="4" width="16.85546875" customWidth="1"/>
    <col min="5" max="5" width="18.28515625" customWidth="1"/>
    <col min="6" max="6" width="30.5703125" customWidth="1"/>
    <col min="11" max="11" width="18.85546875" customWidth="1"/>
  </cols>
  <sheetData>
    <row r="5" spans="3:14" ht="19.5" thickBot="1" x14ac:dyDescent="0.35">
      <c r="F5" s="43" t="s">
        <v>56</v>
      </c>
    </row>
    <row r="6" spans="3:14" ht="15.75" x14ac:dyDescent="0.25">
      <c r="C6" s="33" t="s">
        <v>25</v>
      </c>
      <c r="D6" s="34" t="s">
        <v>37</v>
      </c>
      <c r="E6" s="34" t="s">
        <v>38</v>
      </c>
      <c r="F6" s="34" t="s">
        <v>34</v>
      </c>
      <c r="G6" s="36" t="s">
        <v>35</v>
      </c>
      <c r="J6" s="82" t="s">
        <v>25</v>
      </c>
      <c r="K6" s="83" t="s">
        <v>57</v>
      </c>
      <c r="L6" s="51" t="s">
        <v>62</v>
      </c>
      <c r="M6" s="84"/>
      <c r="N6" s="85"/>
    </row>
    <row r="7" spans="3:14" x14ac:dyDescent="0.25">
      <c r="C7" s="38" t="s">
        <v>44</v>
      </c>
      <c r="D7" s="39">
        <v>0</v>
      </c>
      <c r="E7" s="39">
        <v>20</v>
      </c>
      <c r="F7" s="39">
        <f>30*D7+40*E7</f>
        <v>800</v>
      </c>
      <c r="G7" s="37" t="s">
        <v>36</v>
      </c>
      <c r="J7" s="38" t="s">
        <v>44</v>
      </c>
      <c r="K7" s="86" t="s">
        <v>58</v>
      </c>
      <c r="L7" s="87" t="s">
        <v>59</v>
      </c>
      <c r="M7" s="87"/>
      <c r="N7" s="88"/>
    </row>
    <row r="8" spans="3:14" x14ac:dyDescent="0.25">
      <c r="C8" s="41" t="s">
        <v>54</v>
      </c>
      <c r="D8" s="35">
        <v>7.5</v>
      </c>
      <c r="E8" s="35">
        <v>5</v>
      </c>
      <c r="F8" s="35">
        <f t="shared" ref="F8:F9" si="0">30*D8+40*E8</f>
        <v>425</v>
      </c>
      <c r="G8" s="42" t="s">
        <v>36</v>
      </c>
      <c r="J8" s="41" t="s">
        <v>54</v>
      </c>
      <c r="K8" s="86" t="s">
        <v>59</v>
      </c>
      <c r="L8" s="87" t="s">
        <v>60</v>
      </c>
      <c r="M8" s="87"/>
      <c r="N8" s="88"/>
    </row>
    <row r="9" spans="3:14" ht="15.75" thickBot="1" x14ac:dyDescent="0.3">
      <c r="C9" s="38" t="s">
        <v>43</v>
      </c>
      <c r="D9" s="39">
        <v>15</v>
      </c>
      <c r="E9" s="39">
        <v>0</v>
      </c>
      <c r="F9" s="39">
        <f t="shared" si="0"/>
        <v>450</v>
      </c>
      <c r="G9" s="37" t="s">
        <v>36</v>
      </c>
      <c r="J9" s="40" t="s">
        <v>43</v>
      </c>
      <c r="K9" s="89" t="s">
        <v>61</v>
      </c>
      <c r="L9" s="90" t="s">
        <v>59</v>
      </c>
      <c r="M9" s="90"/>
      <c r="N9" s="91"/>
    </row>
    <row r="12" spans="3:14" ht="19.5" thickBot="1" x14ac:dyDescent="0.35">
      <c r="F12" s="43" t="s">
        <v>55</v>
      </c>
    </row>
    <row r="13" spans="3:14" ht="15.75" x14ac:dyDescent="0.25">
      <c r="C13" s="33" t="s">
        <v>25</v>
      </c>
      <c r="D13" s="34" t="s">
        <v>37</v>
      </c>
      <c r="E13" s="34" t="s">
        <v>38</v>
      </c>
      <c r="F13" s="34" t="s">
        <v>34</v>
      </c>
      <c r="G13" s="36" t="s">
        <v>35</v>
      </c>
    </row>
    <row r="14" spans="3:14" x14ac:dyDescent="0.25">
      <c r="C14" s="38" t="s">
        <v>54</v>
      </c>
      <c r="D14" s="39">
        <v>7.5</v>
      </c>
      <c r="E14" s="39">
        <v>5</v>
      </c>
      <c r="F14" s="35">
        <f t="shared" ref="F14" si="1">30*D14+50*E14</f>
        <v>475</v>
      </c>
      <c r="G14" s="81" t="s">
        <v>36</v>
      </c>
    </row>
  </sheetData>
  <mergeCells count="4">
    <mergeCell ref="L6:N6"/>
    <mergeCell ref="L7:N7"/>
    <mergeCell ref="L8:N8"/>
    <mergeCell ref="L9:N9"/>
  </mergeCells>
  <pageMargins left="0.7" right="0.7" top="0.75" bottom="0.75" header="0.3" footer="0.3"/>
  <pageSetup orientation="portrait" horizontalDpi="4294967292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85021-D74E-4BB8-92BF-F5E6D016B082}">
  <dimension ref="E6"/>
  <sheetViews>
    <sheetView workbookViewId="0">
      <selection activeCell="G9" sqref="G9"/>
    </sheetView>
  </sheetViews>
  <sheetFormatPr baseColWidth="10" defaultRowHeight="15" x14ac:dyDescent="0.25"/>
  <sheetData>
    <row r="6" spans="5:5" x14ac:dyDescent="0.25">
      <c r="E6" t="e" cm="1">
        <f t="array" ref="E6">+SIMPLEX</f>
        <v>#NAME?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</dc:creator>
  <cp:lastModifiedBy>ANTONIO</cp:lastModifiedBy>
  <dcterms:created xsi:type="dcterms:W3CDTF">2025-06-03T21:55:07Z</dcterms:created>
  <dcterms:modified xsi:type="dcterms:W3CDTF">2025-06-25T03:33:27Z</dcterms:modified>
</cp:coreProperties>
</file>