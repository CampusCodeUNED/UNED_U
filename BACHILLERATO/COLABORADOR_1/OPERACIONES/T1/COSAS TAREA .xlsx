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II CUATRI 2025\OPERACIONES\T1\"/>
    </mc:Choice>
  </mc:AlternateContent>
  <xr:revisionPtr revIDLastSave="0" documentId="13_ncr:1_{734D5AF5-BEA0-49C0-8141-008962DF59FD}" xr6:coauthVersionLast="47" xr6:coauthVersionMax="47" xr10:uidLastSave="{00000000-0000-0000-0000-000000000000}"/>
  <bookViews>
    <workbookView xWindow="-120" yWindow="-120" windowWidth="29040" windowHeight="15720" activeTab="1" xr2:uid="{A85D2FBB-F2F4-42EA-96F6-53D9BD855AF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L35" i="1"/>
  <c r="L36" i="1"/>
  <c r="L37" i="1"/>
  <c r="L38" i="1"/>
  <c r="L34" i="1"/>
  <c r="L23" i="1"/>
  <c r="L20" i="1"/>
  <c r="L19" i="1"/>
  <c r="L17" i="1"/>
  <c r="L16" i="1"/>
</calcChain>
</file>

<file path=xl/sharedStrings.xml><?xml version="1.0" encoding="utf-8"?>
<sst xmlns="http://schemas.openxmlformats.org/spreadsheetml/2006/main" count="65" uniqueCount="48">
  <si>
    <t>Recurso</t>
  </si>
  <si>
    <t>Consumo de recursos por unidad de actividad</t>
  </si>
  <si>
    <t>Productos</t>
  </si>
  <si>
    <t>Partes de metal</t>
  </si>
  <si>
    <t>Partes de madera</t>
  </si>
  <si>
    <t>Contribución a Z</t>
  </si>
  <si>
    <t>Total disponible</t>
  </si>
  <si>
    <t>Consumo por juego  de muebles de estar</t>
  </si>
  <si>
    <t>Consumo por cama matrimonial</t>
  </si>
  <si>
    <t>Restricciones</t>
  </si>
  <si>
    <t>x+3y≤200</t>
  </si>
  <si>
    <t>2x+2y≤300</t>
  </si>
  <si>
    <t xml:space="preserve"> x+y≤150</t>
  </si>
  <si>
    <t>y≤60</t>
  </si>
  <si>
    <t>x</t>
  </si>
  <si>
    <t>y</t>
  </si>
  <si>
    <t>METAL</t>
  </si>
  <si>
    <t>MADERA</t>
  </si>
  <si>
    <t xml:space="preserve">JUEGO </t>
  </si>
  <si>
    <r>
      <t>P</t>
    </r>
    <r>
      <rPr>
        <sz val="10"/>
        <color rgb="FF000000"/>
        <rFont val="Arial"/>
        <family val="2"/>
      </rPr>
      <t>aso</t>
    </r>
  </si>
  <si>
    <t>Calculo</t>
  </si>
  <si>
    <t>Modificador</t>
  </si>
  <si>
    <t>Ecuación 1</t>
  </si>
  <si>
    <t>Ecuación 2</t>
  </si>
  <si>
    <t>x+y≤150</t>
  </si>
  <si>
    <t>*-1</t>
  </si>
  <si>
    <t>Ecuación 3</t>
  </si>
  <si>
    <t>-4x1 + -2x2 = -</t>
  </si>
  <si>
    <t>Suma 1 y 3</t>
  </si>
  <si>
    <t>-1x1 = -40</t>
  </si>
  <si>
    <t>Despejamos x1</t>
  </si>
  <si>
    <t>x1 = -40 / (-1)</t>
  </si>
  <si>
    <t>Resultado</t>
  </si>
  <si>
    <t>x1 = 40</t>
  </si>
  <si>
    <t>PUNTO</t>
  </si>
  <si>
    <t>COORDENA X1</t>
  </si>
  <si>
    <t>COORDENA X2</t>
  </si>
  <si>
    <t xml:space="preserve">VALOR DE LA FUNCIÓN </t>
  </si>
  <si>
    <t>K</t>
  </si>
  <si>
    <t>L</t>
  </si>
  <si>
    <t>E</t>
  </si>
  <si>
    <t>D</t>
  </si>
  <si>
    <t>J</t>
  </si>
  <si>
    <t>VALOR DE LA FUNCIÓN  OBJETIVO</t>
  </si>
  <si>
    <t>FACTIBLE</t>
  </si>
  <si>
    <t>SÍ</t>
  </si>
  <si>
    <t>COORDENADA X1</t>
  </si>
  <si>
    <t>COORDENADA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</si>
</sst>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4581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2" borderId="6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2" fillId="2" borderId="5" xfId="0" applyFont="1" applyFill="1" applyBorder="1" applyAlignment="1">
      <alignment horizontal="left" vertical="center" wrapText="1" indent="4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2" fontId="0" fillId="0" borderId="0" xfId="0" applyNumberFormat="1"/>
    <xf numFmtId="0" fontId="8" fillId="6" borderId="4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0" fillId="6" borderId="0" xfId="0" applyFill="1"/>
    <xf numFmtId="0" fontId="8" fillId="6" borderId="12" xfId="0" applyFont="1" applyFill="1" applyBorder="1" applyAlignment="1">
      <alignment vertical="center" wrapText="1"/>
    </xf>
    <xf numFmtId="0" fontId="0" fillId="6" borderId="13" xfId="0" applyFill="1" applyBorder="1"/>
    <xf numFmtId="2" fontId="0" fillId="6" borderId="13" xfId="0" applyNumberFormat="1" applyFill="1" applyBorder="1"/>
    <xf numFmtId="0" fontId="8" fillId="5" borderId="3" xfId="0" applyFont="1" applyFill="1" applyBorder="1" applyAlignment="1">
      <alignment vertical="center" wrapText="1"/>
    </xf>
    <xf numFmtId="0" fontId="0" fillId="5" borderId="13" xfId="0" applyFill="1" applyBorder="1"/>
    <xf numFmtId="2" fontId="0" fillId="5" borderId="13" xfId="0" applyNumberFormat="1" applyFill="1" applyBorder="1"/>
    <xf numFmtId="0" fontId="8" fillId="7" borderId="4" xfId="0" applyFont="1" applyFill="1" applyBorder="1" applyAlignment="1">
      <alignment vertical="center" wrapText="1"/>
    </xf>
    <xf numFmtId="0" fontId="0" fillId="7" borderId="0" xfId="0" applyFill="1"/>
    <xf numFmtId="2" fontId="0" fillId="7" borderId="0" xfId="0" applyNumberFormat="1" applyFill="1"/>
    <xf numFmtId="0" fontId="0" fillId="7" borderId="13" xfId="0" applyFill="1" applyBorder="1"/>
    <xf numFmtId="2" fontId="0" fillId="7" borderId="13" xfId="0" applyNumberFormat="1" applyFill="1" applyBorder="1"/>
    <xf numFmtId="0" fontId="9" fillId="8" borderId="1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vertical="center" wrapText="1"/>
    </xf>
    <xf numFmtId="0" fontId="10" fillId="9" borderId="4" xfId="0" applyFont="1" applyFill="1" applyBorder="1" applyAlignment="1">
      <alignment horizontal="left" vertical="center" wrapText="1" indent="2"/>
    </xf>
    <xf numFmtId="0" fontId="9" fillId="0" borderId="7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center" vertical="center" wrapText="1"/>
    </xf>
    <xf numFmtId="0" fontId="11" fillId="9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 indent="3"/>
    </xf>
    <xf numFmtId="0" fontId="10" fillId="9" borderId="4" xfId="0" applyFont="1" applyFill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 indent="4"/>
    </xf>
    <xf numFmtId="0" fontId="0" fillId="11" borderId="0" xfId="0" applyFill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38</xdr:row>
      <xdr:rowOff>95250</xdr:rowOff>
    </xdr:from>
    <xdr:to>
      <xdr:col>5</xdr:col>
      <xdr:colOff>965200</xdr:colOff>
      <xdr:row>39</xdr:row>
      <xdr:rowOff>130175</xdr:rowOff>
    </xdr:to>
    <xdr:pic>
      <xdr:nvPicPr>
        <xdr:cNvPr id="4" name="Picture 1" title="Z subíndice m a x fin subíndice igual 1000 espacio x subíndice 1 espacio más 2000 espacio x subíndice 2">
          <a:extLst>
            <a:ext uri="{FF2B5EF4-FFF2-40B4-BE49-F238E27FC236}">
              <a16:creationId xmlns:a16="http://schemas.microsoft.com/office/drawing/2014/main" id="{8121D781-41B5-4A60-AD0D-74D349D829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7972425"/>
          <a:ext cx="2155825" cy="2254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40</xdr:row>
      <xdr:rowOff>114300</xdr:rowOff>
    </xdr:from>
    <xdr:to>
      <xdr:col>5</xdr:col>
      <xdr:colOff>1609725</xdr:colOff>
      <xdr:row>40</xdr:row>
      <xdr:rowOff>341630</xdr:rowOff>
    </xdr:to>
    <xdr:pic>
      <xdr:nvPicPr>
        <xdr:cNvPr id="5" name="Picture 1" title="Z subíndice m a x fin subíndice igual 1000 espacio abrir paréntesis 125 cerrar paréntesis espacio más 2000 espacio abrir paréntesis 25 cerrar paréntesis">
          <a:extLst>
            <a:ext uri="{FF2B5EF4-FFF2-40B4-BE49-F238E27FC236}">
              <a16:creationId xmlns:a16="http://schemas.microsoft.com/office/drawing/2014/main" id="{46810AD3-C684-421D-804E-718B1BC5846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382000"/>
          <a:ext cx="2781300" cy="22733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41</xdr:row>
      <xdr:rowOff>85725</xdr:rowOff>
    </xdr:from>
    <xdr:to>
      <xdr:col>5</xdr:col>
      <xdr:colOff>84455</xdr:colOff>
      <xdr:row>41</xdr:row>
      <xdr:rowOff>313055</xdr:rowOff>
    </xdr:to>
    <xdr:pic>
      <xdr:nvPicPr>
        <xdr:cNvPr id="6" name="Picture 1" title="Z subíndice m a x fin subíndice igual 175000">
          <a:extLst>
            <a:ext uri="{FF2B5EF4-FFF2-40B4-BE49-F238E27FC236}">
              <a16:creationId xmlns:a16="http://schemas.microsoft.com/office/drawing/2014/main" id="{2EAC8A95-37F7-4E65-A730-1114D9FC1023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0" y="8801100"/>
          <a:ext cx="1198880" cy="22733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42</xdr:row>
      <xdr:rowOff>123825</xdr:rowOff>
    </xdr:from>
    <xdr:to>
      <xdr:col>5</xdr:col>
      <xdr:colOff>1189355</xdr:colOff>
      <xdr:row>42</xdr:row>
      <xdr:rowOff>349250</xdr:rowOff>
    </xdr:to>
    <xdr:pic>
      <xdr:nvPicPr>
        <xdr:cNvPr id="7" name="Picture 1" title="1000 espacio x subíndice 1 espacio más 2000 espacio x subíndice 2 igual 175000">
          <a:extLst>
            <a:ext uri="{FF2B5EF4-FFF2-40B4-BE49-F238E27FC236}">
              <a16:creationId xmlns:a16="http://schemas.microsoft.com/office/drawing/2014/main" id="{9BC30833-FDF3-4145-92A0-8179F7A137B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248775"/>
          <a:ext cx="2360930" cy="2254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42</xdr:row>
      <xdr:rowOff>142875</xdr:rowOff>
    </xdr:from>
    <xdr:to>
      <xdr:col>3</xdr:col>
      <xdr:colOff>1270000</xdr:colOff>
      <xdr:row>42</xdr:row>
      <xdr:rowOff>366395</xdr:rowOff>
    </xdr:to>
    <xdr:pic>
      <xdr:nvPicPr>
        <xdr:cNvPr id="8" name="Picture 1" title="Z igual 1000 espacio x subíndice 1 espacio más 2000 espacio x subíndice 2">
          <a:extLst>
            <a:ext uri="{FF2B5EF4-FFF2-40B4-BE49-F238E27FC236}">
              <a16:creationId xmlns:a16="http://schemas.microsoft.com/office/drawing/2014/main" id="{F250869E-DA1B-43D4-BEE1-B1AC002EE041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9267825"/>
          <a:ext cx="1879600" cy="22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E5A3-4242-4D92-8965-6EEE65551130}">
  <dimension ref="C4:L43"/>
  <sheetViews>
    <sheetView showGridLines="0" topLeftCell="B19" workbookViewId="0">
      <selection activeCell="J35" sqref="J35"/>
    </sheetView>
  </sheetViews>
  <sheetFormatPr baseColWidth="10" defaultRowHeight="15" x14ac:dyDescent="0.25"/>
  <cols>
    <col min="4" max="4" width="21.85546875" customWidth="1"/>
    <col min="5" max="5" width="19.7109375" customWidth="1"/>
    <col min="6" max="6" width="26.85546875" customWidth="1"/>
    <col min="7" max="7" width="26.7109375" customWidth="1"/>
    <col min="9" max="9" width="14.7109375" customWidth="1"/>
  </cols>
  <sheetData>
    <row r="4" spans="4:12" ht="15.75" thickBot="1" x14ac:dyDescent="0.3"/>
    <row r="5" spans="4:12" ht="15.75" x14ac:dyDescent="0.25">
      <c r="D5" s="51" t="s">
        <v>0</v>
      </c>
      <c r="E5" s="69" t="s">
        <v>1</v>
      </c>
      <c r="F5" s="70"/>
      <c r="G5" s="1"/>
    </row>
    <row r="6" spans="4:12" ht="16.5" thickBot="1" x14ac:dyDescent="0.3">
      <c r="D6" s="52"/>
      <c r="E6" s="71"/>
      <c r="F6" s="72"/>
      <c r="G6" s="2" t="s">
        <v>6</v>
      </c>
    </row>
    <row r="7" spans="4:12" ht="17.25" customHeight="1" thickBot="1" x14ac:dyDescent="0.3">
      <c r="D7" s="52"/>
      <c r="E7" s="73" t="s">
        <v>2</v>
      </c>
      <c r="F7" s="74"/>
      <c r="G7" s="3"/>
    </row>
    <row r="8" spans="4:12" ht="48" thickBot="1" x14ac:dyDescent="0.3">
      <c r="D8" s="53"/>
      <c r="E8" s="5" t="s">
        <v>8</v>
      </c>
      <c r="F8" s="6" t="s">
        <v>7</v>
      </c>
      <c r="G8" s="4"/>
    </row>
    <row r="9" spans="4:12" ht="15.75" thickBot="1" x14ac:dyDescent="0.3">
      <c r="D9" s="7" t="s">
        <v>3</v>
      </c>
      <c r="E9" s="8">
        <v>1</v>
      </c>
      <c r="F9" s="8">
        <v>3</v>
      </c>
      <c r="G9" s="8">
        <v>200</v>
      </c>
    </row>
    <row r="10" spans="4:12" ht="15.75" thickBot="1" x14ac:dyDescent="0.3">
      <c r="D10" s="7" t="s">
        <v>4</v>
      </c>
      <c r="E10" s="8">
        <v>2</v>
      </c>
      <c r="F10" s="8">
        <v>2</v>
      </c>
      <c r="G10" s="8">
        <v>300</v>
      </c>
    </row>
    <row r="11" spans="4:12" ht="15.75" thickBot="1" x14ac:dyDescent="0.3">
      <c r="D11" s="9" t="s">
        <v>5</v>
      </c>
      <c r="E11" s="8">
        <v>1000</v>
      </c>
      <c r="F11" s="8">
        <v>2000</v>
      </c>
      <c r="G11" s="10"/>
    </row>
    <row r="13" spans="4:12" ht="15.75" thickBot="1" x14ac:dyDescent="0.3"/>
    <row r="14" spans="4:12" ht="15.75" thickBot="1" x14ac:dyDescent="0.3">
      <c r="D14" s="11" t="s">
        <v>9</v>
      </c>
      <c r="E14" s="12"/>
    </row>
    <row r="15" spans="4:12" ht="15.75" thickBot="1" x14ac:dyDescent="0.3">
      <c r="D15" s="18">
        <v>1</v>
      </c>
      <c r="E15" s="19" t="s">
        <v>10</v>
      </c>
      <c r="I15" s="21" t="s">
        <v>9</v>
      </c>
      <c r="J15" s="20"/>
      <c r="K15" s="20"/>
      <c r="L15" s="20"/>
    </row>
    <row r="16" spans="4:12" x14ac:dyDescent="0.25">
      <c r="D16" s="54">
        <v>2</v>
      </c>
      <c r="E16" s="13" t="s">
        <v>11</v>
      </c>
      <c r="H16" s="57" t="s">
        <v>16</v>
      </c>
      <c r="I16" s="22" t="s">
        <v>14</v>
      </c>
      <c r="J16" s="22">
        <v>1</v>
      </c>
      <c r="K16" s="22">
        <v>200</v>
      </c>
      <c r="L16" s="23">
        <f>+K16/J16</f>
        <v>200</v>
      </c>
    </row>
    <row r="17" spans="4:12" ht="15.75" thickBot="1" x14ac:dyDescent="0.3">
      <c r="D17" s="55"/>
      <c r="E17" s="13" t="s">
        <v>12</v>
      </c>
      <c r="H17" s="58"/>
      <c r="I17" s="22" t="s">
        <v>15</v>
      </c>
      <c r="J17" s="22">
        <v>3</v>
      </c>
      <c r="K17" s="22">
        <v>200</v>
      </c>
      <c r="L17" s="23">
        <f>+K17/J17</f>
        <v>66.666666666666671</v>
      </c>
    </row>
    <row r="18" spans="4:12" ht="15.75" thickBot="1" x14ac:dyDescent="0.3">
      <c r="D18" s="56"/>
      <c r="E18" s="14"/>
      <c r="I18" s="24" t="s">
        <v>9</v>
      </c>
      <c r="L18" s="17"/>
    </row>
    <row r="19" spans="4:12" ht="15.75" thickBot="1" x14ac:dyDescent="0.3">
      <c r="D19" s="15">
        <v>3</v>
      </c>
      <c r="E19" s="16" t="s">
        <v>13</v>
      </c>
      <c r="H19" s="59" t="s">
        <v>17</v>
      </c>
      <c r="I19" s="25" t="s">
        <v>14</v>
      </c>
      <c r="J19" s="25">
        <v>1</v>
      </c>
      <c r="K19" s="25">
        <v>150</v>
      </c>
      <c r="L19" s="26">
        <f t="shared" ref="L19:L23" si="0">+K19/J19</f>
        <v>150</v>
      </c>
    </row>
    <row r="20" spans="4:12" ht="15.75" thickBot="1" x14ac:dyDescent="0.3">
      <c r="D20" s="15"/>
      <c r="E20" s="16"/>
      <c r="H20" s="60"/>
      <c r="I20" s="25" t="s">
        <v>15</v>
      </c>
      <c r="J20" s="25">
        <v>1</v>
      </c>
      <c r="K20" s="25">
        <v>150</v>
      </c>
      <c r="L20" s="26">
        <f t="shared" si="0"/>
        <v>150</v>
      </c>
    </row>
    <row r="21" spans="4:12" ht="15.75" thickBot="1" x14ac:dyDescent="0.3">
      <c r="I21" s="27" t="s">
        <v>9</v>
      </c>
      <c r="J21" s="28"/>
      <c r="K21" s="28"/>
      <c r="L21" s="29"/>
    </row>
    <row r="22" spans="4:12" x14ac:dyDescent="0.25">
      <c r="H22" s="61" t="s">
        <v>18</v>
      </c>
      <c r="I22" s="28"/>
      <c r="J22" s="28"/>
      <c r="K22" s="28"/>
      <c r="L22" s="29"/>
    </row>
    <row r="23" spans="4:12" ht="15.75" thickBot="1" x14ac:dyDescent="0.3">
      <c r="H23" s="62"/>
      <c r="I23" s="30" t="s">
        <v>15</v>
      </c>
      <c r="J23" s="30">
        <v>1</v>
      </c>
      <c r="K23" s="30">
        <v>60</v>
      </c>
      <c r="L23" s="31">
        <f t="shared" si="0"/>
        <v>60</v>
      </c>
    </row>
    <row r="24" spans="4:12" ht="15.75" thickBot="1" x14ac:dyDescent="0.3"/>
    <row r="25" spans="4:12" ht="15.75" thickBot="1" x14ac:dyDescent="0.3">
      <c r="D25" s="32" t="s">
        <v>19</v>
      </c>
      <c r="E25" s="33" t="s">
        <v>20</v>
      </c>
      <c r="F25" s="33" t="s">
        <v>21</v>
      </c>
    </row>
    <row r="26" spans="4:12" ht="15.75" thickBot="1" x14ac:dyDescent="0.3">
      <c r="D26" s="34" t="s">
        <v>22</v>
      </c>
      <c r="E26" s="35" t="s">
        <v>10</v>
      </c>
      <c r="F26" s="10"/>
    </row>
    <row r="27" spans="4:12" ht="15.75" thickBot="1" x14ac:dyDescent="0.3">
      <c r="D27" s="34" t="s">
        <v>23</v>
      </c>
      <c r="E27" s="35" t="s">
        <v>24</v>
      </c>
      <c r="F27" s="36" t="s">
        <v>25</v>
      </c>
    </row>
    <row r="28" spans="4:12" ht="15" customHeight="1" x14ac:dyDescent="0.25">
      <c r="D28" s="37"/>
      <c r="E28" s="66" t="s">
        <v>27</v>
      </c>
      <c r="F28" s="63"/>
    </row>
    <row r="29" spans="4:12" x14ac:dyDescent="0.25">
      <c r="D29" s="38"/>
      <c r="E29" s="67"/>
      <c r="F29" s="64"/>
    </row>
    <row r="30" spans="4:12" ht="15.75" thickBot="1" x14ac:dyDescent="0.3">
      <c r="D30" s="34" t="s">
        <v>26</v>
      </c>
      <c r="E30" s="68"/>
      <c r="F30" s="65"/>
    </row>
    <row r="31" spans="4:12" ht="15.75" thickBot="1" x14ac:dyDescent="0.3">
      <c r="D31" s="34" t="s">
        <v>28</v>
      </c>
      <c r="E31" s="39" t="s">
        <v>29</v>
      </c>
      <c r="F31" s="10"/>
    </row>
    <row r="32" spans="4:12" ht="15.75" thickBot="1" x14ac:dyDescent="0.3">
      <c r="D32" s="40" t="s">
        <v>30</v>
      </c>
      <c r="E32" s="35" t="s">
        <v>31</v>
      </c>
      <c r="F32" s="10"/>
    </row>
    <row r="33" spans="3:12" ht="15.75" thickBot="1" x14ac:dyDescent="0.3">
      <c r="D33" s="34" t="s">
        <v>32</v>
      </c>
      <c r="E33" s="41" t="s">
        <v>33</v>
      </c>
      <c r="F33" s="10"/>
      <c r="H33" t="s">
        <v>34</v>
      </c>
      <c r="I33" t="s">
        <v>35</v>
      </c>
      <c r="J33" t="s">
        <v>36</v>
      </c>
      <c r="L33" t="s">
        <v>37</v>
      </c>
    </row>
    <row r="34" spans="3:12" x14ac:dyDescent="0.25">
      <c r="H34" t="s">
        <v>38</v>
      </c>
      <c r="I34">
        <v>0</v>
      </c>
      <c r="J34">
        <v>60</v>
      </c>
      <c r="L34">
        <f>1000*I34+2000*J34</f>
        <v>120000</v>
      </c>
    </row>
    <row r="35" spans="3:12" x14ac:dyDescent="0.25">
      <c r="H35" t="s">
        <v>39</v>
      </c>
      <c r="I35">
        <v>20</v>
      </c>
      <c r="J35">
        <v>60</v>
      </c>
      <c r="L35">
        <f t="shared" ref="L35:L38" si="1">1000*I35+2000*J35</f>
        <v>140000</v>
      </c>
    </row>
    <row r="36" spans="3:12" x14ac:dyDescent="0.25">
      <c r="G36" s="42"/>
      <c r="H36" s="42" t="s">
        <v>40</v>
      </c>
      <c r="I36" s="42">
        <v>125</v>
      </c>
      <c r="J36" s="42">
        <v>25</v>
      </c>
      <c r="K36" s="42"/>
      <c r="L36" s="42">
        <f t="shared" si="1"/>
        <v>175000</v>
      </c>
    </row>
    <row r="37" spans="3:12" x14ac:dyDescent="0.25">
      <c r="H37" t="s">
        <v>41</v>
      </c>
      <c r="I37">
        <v>150</v>
      </c>
      <c r="J37">
        <v>0</v>
      </c>
      <c r="L37">
        <f t="shared" si="1"/>
        <v>150000</v>
      </c>
    </row>
    <row r="38" spans="3:12" ht="12" customHeight="1" thickBot="1" x14ac:dyDescent="0.3">
      <c r="H38" t="s">
        <v>42</v>
      </c>
      <c r="I38">
        <v>0</v>
      </c>
      <c r="J38">
        <v>0</v>
      </c>
      <c r="L38">
        <f t="shared" si="1"/>
        <v>0</v>
      </c>
    </row>
    <row r="39" spans="3:12" x14ac:dyDescent="0.25">
      <c r="D39" s="79"/>
      <c r="E39" s="80"/>
      <c r="F39" s="81"/>
    </row>
    <row r="40" spans="3:12" ht="15.75" thickBot="1" x14ac:dyDescent="0.3">
      <c r="D40" s="79"/>
      <c r="E40" s="82"/>
      <c r="F40" s="83"/>
    </row>
    <row r="41" spans="3:12" ht="35.25" customHeight="1" thickBot="1" x14ac:dyDescent="0.3">
      <c r="D41" s="79"/>
      <c r="E41" s="75"/>
      <c r="F41" s="76"/>
    </row>
    <row r="42" spans="3:12" ht="32.25" customHeight="1" thickBot="1" x14ac:dyDescent="0.3">
      <c r="D42" s="79"/>
      <c r="E42" s="75"/>
      <c r="F42" s="76"/>
    </row>
    <row r="43" spans="3:12" ht="33" customHeight="1" thickBot="1" x14ac:dyDescent="0.3">
      <c r="C43" s="77"/>
      <c r="D43" s="78"/>
      <c r="E43" s="75"/>
      <c r="F43" s="76"/>
    </row>
  </sheetData>
  <mergeCells count="15">
    <mergeCell ref="C43:D43"/>
    <mergeCell ref="D39:D42"/>
    <mergeCell ref="E39:F40"/>
    <mergeCell ref="E41:F41"/>
    <mergeCell ref="E42:F42"/>
    <mergeCell ref="F28:F30"/>
    <mergeCell ref="E28:E30"/>
    <mergeCell ref="E5:F6"/>
    <mergeCell ref="E7:F7"/>
    <mergeCell ref="E43:F43"/>
    <mergeCell ref="D5:D8"/>
    <mergeCell ref="D16:D18"/>
    <mergeCell ref="H16:H17"/>
    <mergeCell ref="H19:H20"/>
    <mergeCell ref="H22:H23"/>
  </mergeCells>
  <phoneticPr fontId="12" type="noConversion"/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BA22-3913-4224-82D4-4DA32E0332C2}">
  <dimension ref="C5:G11"/>
  <sheetViews>
    <sheetView tabSelected="1" workbookViewId="0">
      <selection activeCell="C6" sqref="C6:G11"/>
    </sheetView>
  </sheetViews>
  <sheetFormatPr baseColWidth="10" defaultRowHeight="15" x14ac:dyDescent="0.25"/>
  <cols>
    <col min="4" max="4" width="16.85546875" customWidth="1"/>
    <col min="5" max="5" width="18.28515625" customWidth="1"/>
    <col min="6" max="6" width="30.5703125" customWidth="1"/>
  </cols>
  <sheetData>
    <row r="5" spans="3:7" ht="15.75" thickBot="1" x14ac:dyDescent="0.3"/>
    <row r="6" spans="3:7" ht="15.75" x14ac:dyDescent="0.25">
      <c r="C6" s="43" t="s">
        <v>34</v>
      </c>
      <c r="D6" s="44" t="s">
        <v>46</v>
      </c>
      <c r="E6" s="44" t="s">
        <v>47</v>
      </c>
      <c r="F6" s="44" t="s">
        <v>43</v>
      </c>
      <c r="G6" s="84" t="s">
        <v>44</v>
      </c>
    </row>
    <row r="7" spans="3:7" x14ac:dyDescent="0.25">
      <c r="C7" s="45" t="s">
        <v>38</v>
      </c>
      <c r="D7" s="46">
        <v>0</v>
      </c>
      <c r="E7" s="46">
        <v>60</v>
      </c>
      <c r="F7" s="46">
        <f>1000*D7+2000*E7</f>
        <v>120000</v>
      </c>
      <c r="G7" s="85" t="s">
        <v>45</v>
      </c>
    </row>
    <row r="8" spans="3:7" x14ac:dyDescent="0.25">
      <c r="C8" s="45" t="s">
        <v>39</v>
      </c>
      <c r="D8" s="46">
        <v>20</v>
      </c>
      <c r="E8" s="46">
        <v>60</v>
      </c>
      <c r="F8" s="46">
        <f t="shared" ref="F8:F11" si="0">1000*D8+2000*E8</f>
        <v>140000</v>
      </c>
      <c r="G8" s="85" t="s">
        <v>45</v>
      </c>
    </row>
    <row r="9" spans="3:7" x14ac:dyDescent="0.25">
      <c r="C9" s="47" t="s">
        <v>40</v>
      </c>
      <c r="D9" s="48">
        <v>125</v>
      </c>
      <c r="E9" s="48">
        <v>25</v>
      </c>
      <c r="F9" s="48">
        <f t="shared" si="0"/>
        <v>175000</v>
      </c>
      <c r="G9" s="85" t="s">
        <v>45</v>
      </c>
    </row>
    <row r="10" spans="3:7" x14ac:dyDescent="0.25">
      <c r="C10" s="45" t="s">
        <v>41</v>
      </c>
      <c r="D10" s="46">
        <v>150</v>
      </c>
      <c r="E10" s="46">
        <v>0</v>
      </c>
      <c r="F10" s="46">
        <f t="shared" si="0"/>
        <v>150000</v>
      </c>
      <c r="G10" s="85" t="s">
        <v>45</v>
      </c>
    </row>
    <row r="11" spans="3:7" ht="15.75" thickBot="1" x14ac:dyDescent="0.3">
      <c r="C11" s="49" t="s">
        <v>42</v>
      </c>
      <c r="D11" s="50">
        <v>0</v>
      </c>
      <c r="E11" s="50">
        <v>0</v>
      </c>
      <c r="F11" s="50">
        <f t="shared" si="0"/>
        <v>0</v>
      </c>
      <c r="G11" s="86" t="s">
        <v>45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2025-06-03T21:55:07Z</dcterms:created>
  <dcterms:modified xsi:type="dcterms:W3CDTF">2025-06-07T03:16:05Z</dcterms:modified>
</cp:coreProperties>
</file>