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II CUATRI 2025\OPERACIONES\P1\"/>
    </mc:Choice>
  </mc:AlternateContent>
  <xr:revisionPtr revIDLastSave="0" documentId="13_ncr:1_{B1DBC270-CE2E-4061-9A56-EEF0DF8744BB}" xr6:coauthVersionLast="47" xr6:coauthVersionMax="47" xr10:uidLastSave="{00000000-0000-0000-0000-000000000000}"/>
  <bookViews>
    <workbookView xWindow="-120" yWindow="-120" windowWidth="29040" windowHeight="15720" tabRatio="721" activeTab="6" xr2:uid="{91BFE793-B299-48EF-9134-79AEED5C9B50}"/>
  </bookViews>
  <sheets>
    <sheet name="PARTE A " sheetId="7" r:id="rId1"/>
    <sheet name="SOLVER a) y b" sheetId="11" r:id="rId2"/>
    <sheet name="SOLVER C" sheetId="19" r:id="rId3"/>
    <sheet name="SOLVER d" sheetId="13" r:id="rId4"/>
    <sheet name="SOLVER E)" sheetId="22" r:id="rId5"/>
    <sheet name="SOLVER F)" sheetId="23" r:id="rId6"/>
    <sheet name="RESPUESTAS" sheetId="17" r:id="rId7"/>
    <sheet name="SOLVER E) (2)" sheetId="24" r:id="rId8"/>
  </sheets>
  <definedNames>
    <definedName name="solver_adj" localSheetId="1" hidden="1">'SOLVER a) y b'!$C$3:$N$3</definedName>
    <definedName name="solver_adj" localSheetId="2" hidden="1">'SOLVER C'!$C$3:$N$3</definedName>
    <definedName name="solver_adj" localSheetId="3" hidden="1">'SOLVER d'!$C$3:$N$3</definedName>
    <definedName name="solver_adj" localSheetId="4" hidden="1">'SOLVER E)'!$C$3:$N$3</definedName>
    <definedName name="solver_adj" localSheetId="7" hidden="1">'SOLVER E) (2)'!$C$3:$N$3</definedName>
    <definedName name="solver_adj" localSheetId="5" hidden="1">'SOLVER F)'!$C$3:$N$3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7" hidden="1">0.0001</definedName>
    <definedName name="solver_cvg" localSheetId="5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7" hidden="1">1</definedName>
    <definedName name="solver_drv" localSheetId="5" hidden="1">1</definedName>
    <definedName name="solver_eng" localSheetId="0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7" hidden="1">2</definedName>
    <definedName name="solver_eng" localSheetId="5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7" hidden="1">1</definedName>
    <definedName name="solver_est" localSheetId="5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7" hidden="1">2147483647</definedName>
    <definedName name="solver_itr" localSheetId="5" hidden="1">2147483647</definedName>
    <definedName name="solver_lhs1" localSheetId="1" hidden="1">'SOLVER a) y b'!$O$13</definedName>
    <definedName name="solver_lhs1" localSheetId="2" hidden="1">'SOLVER C'!$C$3:$N$3</definedName>
    <definedName name="solver_lhs1" localSheetId="3" hidden="1">'SOLVER d'!$C$3:$N$3</definedName>
    <definedName name="solver_lhs1" localSheetId="4" hidden="1">'SOLVER E)'!$C$3:$N$3</definedName>
    <definedName name="solver_lhs1" localSheetId="7" hidden="1">'SOLVER E) (2)'!$C$3:$N$3</definedName>
    <definedName name="solver_lhs1" localSheetId="5" hidden="1">'SOLVER F)'!$C$3:$N$3</definedName>
    <definedName name="solver_lhs2" localSheetId="1" hidden="1">'SOLVER a) y b'!$O$6:$O$12</definedName>
    <definedName name="solver_lhs2" localSheetId="2" hidden="1">'SOLVER C'!$O$13</definedName>
    <definedName name="solver_lhs2" localSheetId="3" hidden="1">'SOLVER d'!$O$13</definedName>
    <definedName name="solver_lhs2" localSheetId="4" hidden="1">'SOLVER E)'!$O$13</definedName>
    <definedName name="solver_lhs2" localSheetId="7" hidden="1">'SOLVER E) (2)'!$O$13</definedName>
    <definedName name="solver_lhs2" localSheetId="5" hidden="1">'SOLVER F)'!$O$13</definedName>
    <definedName name="solver_lhs3" localSheetId="2" hidden="1">'SOLVER C'!$O$6:$O$12</definedName>
    <definedName name="solver_lhs3" localSheetId="3" hidden="1">'SOLVER d'!$O$14:$O$15</definedName>
    <definedName name="solver_lhs3" localSheetId="4" hidden="1">'SOLVER E)'!$O$14:$O$15</definedName>
    <definedName name="solver_lhs3" localSheetId="7" hidden="1">'SOLVER E) (2)'!$O$14:$O$15</definedName>
    <definedName name="solver_lhs3" localSheetId="5" hidden="1">'SOLVER F)'!$O$14:$O$15</definedName>
    <definedName name="solver_lhs4" localSheetId="3" hidden="1">'SOLVER d'!$O$7:$O$12</definedName>
    <definedName name="solver_lhs4" localSheetId="4" hidden="1">'SOLVER E)'!$O$7:$O$12</definedName>
    <definedName name="solver_lhs4" localSheetId="7" hidden="1">'SOLVER E) (2)'!$O$7:$O$12</definedName>
    <definedName name="solver_lhs4" localSheetId="5" hidden="1">'SOLVER F)'!$O$7:$O$12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7" hidden="1">2147483647</definedName>
    <definedName name="solver_mip" localSheetId="5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7" hidden="1">30</definedName>
    <definedName name="solver_mni" localSheetId="5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7" hidden="1">0.075</definedName>
    <definedName name="solver_mrt" localSheetId="5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7" hidden="1">2</definedName>
    <definedName name="solver_msl" localSheetId="5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7" hidden="1">1</definedName>
    <definedName name="solver_neg" localSheetId="5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7" hidden="1">2147483647</definedName>
    <definedName name="solver_nod" localSheetId="5" hidden="1">2147483647</definedName>
    <definedName name="solver_num" localSheetId="0" hidden="1">0</definedName>
    <definedName name="solver_num" localSheetId="1" hidden="1">2</definedName>
    <definedName name="solver_num" localSheetId="2" hidden="1">3</definedName>
    <definedName name="solver_num" localSheetId="3" hidden="1">4</definedName>
    <definedName name="solver_num" localSheetId="4" hidden="1">4</definedName>
    <definedName name="solver_num" localSheetId="7" hidden="1">4</definedName>
    <definedName name="solver_num" localSheetId="5" hidden="1">4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7" hidden="1">1</definedName>
    <definedName name="solver_nwt" localSheetId="5" hidden="1">1</definedName>
    <definedName name="solver_opt" localSheetId="0" hidden="1">'PARTE A '!$AJ$33</definedName>
    <definedName name="solver_opt" localSheetId="1" hidden="1">'SOLVER a) y b'!$O$3</definedName>
    <definedName name="solver_opt" localSheetId="2" hidden="1">'SOLVER C'!$O$3</definedName>
    <definedName name="solver_opt" localSheetId="3" hidden="1">'SOLVER d'!$O$3</definedName>
    <definedName name="solver_opt" localSheetId="4" hidden="1">'SOLVER E)'!$O$3</definedName>
    <definedName name="solver_opt" localSheetId="7" hidden="1">'SOLVER E) (2)'!$O$3</definedName>
    <definedName name="solver_opt" localSheetId="5" hidden="1">'SOLVER F)'!$O$3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7" hidden="1">0.000001</definedName>
    <definedName name="solver_pre" localSheetId="5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7" hidden="1">1</definedName>
    <definedName name="solver_rbv" localSheetId="5" hidden="1">1</definedName>
    <definedName name="solver_rel1" localSheetId="1" hidden="1">2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1" localSheetId="7" hidden="1">3</definedName>
    <definedName name="solver_rel1" localSheetId="5" hidden="1">3</definedName>
    <definedName name="solver_rel2" localSheetId="1" hidden="1">3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2" localSheetId="7" hidden="1">2</definedName>
    <definedName name="solver_rel2" localSheetId="5" hidden="1">2</definedName>
    <definedName name="solver_rel3" localSheetId="2" hidden="1">3</definedName>
    <definedName name="solver_rel3" localSheetId="3" hidden="1">1</definedName>
    <definedName name="solver_rel3" localSheetId="4" hidden="1">1</definedName>
    <definedName name="solver_rel3" localSheetId="7" hidden="1">1</definedName>
    <definedName name="solver_rel3" localSheetId="5" hidden="1">1</definedName>
    <definedName name="solver_rel4" localSheetId="3" hidden="1">3</definedName>
    <definedName name="solver_rel4" localSheetId="4" hidden="1">3</definedName>
    <definedName name="solver_rel4" localSheetId="7" hidden="1">2</definedName>
    <definedName name="solver_rel4" localSheetId="5" hidden="1">2</definedName>
    <definedName name="solver_rhs1" localSheetId="1" hidden="1">'SOLVER a) y b'!$Q$13</definedName>
    <definedName name="solver_rhs1" localSheetId="2" hidden="1">50</definedName>
    <definedName name="solver_rhs1" localSheetId="3" hidden="1">50</definedName>
    <definedName name="solver_rhs1" localSheetId="4" hidden="1">50</definedName>
    <definedName name="solver_rhs1" localSheetId="7" hidden="1">50</definedName>
    <definedName name="solver_rhs1" localSheetId="5" hidden="1">50</definedName>
    <definedName name="solver_rhs2" localSheetId="1" hidden="1">'SOLVER a) y b'!$Q$6:$Q$12</definedName>
    <definedName name="solver_rhs2" localSheetId="2" hidden="1">'SOLVER C'!$Q$13</definedName>
    <definedName name="solver_rhs2" localSheetId="3" hidden="1">'SOLVER d'!$Q$13</definedName>
    <definedName name="solver_rhs2" localSheetId="4" hidden="1">'SOLVER E)'!$Q$13</definedName>
    <definedName name="solver_rhs2" localSheetId="7" hidden="1">'SOLVER E) (2)'!$Q$13</definedName>
    <definedName name="solver_rhs2" localSheetId="5" hidden="1">'SOLVER F)'!$Q$13</definedName>
    <definedName name="solver_rhs3" localSheetId="2" hidden="1">'SOLVER C'!$Q$6:$Q$12</definedName>
    <definedName name="solver_rhs3" localSheetId="3" hidden="1">'SOLVER d'!$Q$14:$Q$15</definedName>
    <definedName name="solver_rhs3" localSheetId="4" hidden="1">'SOLVER E)'!$Q$14:$Q$15</definedName>
    <definedName name="solver_rhs3" localSheetId="7" hidden="1">'SOLVER E) (2)'!$Q$14:$Q$15</definedName>
    <definedName name="solver_rhs3" localSheetId="5" hidden="1">'SOLVER F)'!$Q$14:$Q$15</definedName>
    <definedName name="solver_rhs4" localSheetId="3" hidden="1">'SOLVER d'!$Q$7:$Q$12</definedName>
    <definedName name="solver_rhs4" localSheetId="4" hidden="1">'SOLVER E)'!$Q$7:$Q$12</definedName>
    <definedName name="solver_rhs4" localSheetId="7" hidden="1">'SOLVER E) (2)'!$Q$7:$Q$12</definedName>
    <definedName name="solver_rhs4" localSheetId="5" hidden="1">'SOLVER F)'!$Q$7:$Q$12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7" hidden="1">2</definedName>
    <definedName name="solver_rlx" localSheetId="5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7" hidden="1">0</definedName>
    <definedName name="solver_rsd" localSheetId="5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7" hidden="1">1</definedName>
    <definedName name="solver_scl" localSheetId="5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7" hidden="1">2</definedName>
    <definedName name="solver_sho" localSheetId="5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7" hidden="1">100</definedName>
    <definedName name="solver_ssz" localSheetId="5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7" hidden="1">2147483647</definedName>
    <definedName name="solver_tim" localSheetId="5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7" hidden="1">0.01</definedName>
    <definedName name="solver_tol" localSheetId="5" hidden="1">0.01</definedName>
    <definedName name="solver_typ" localSheetId="0" hidden="1">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7" hidden="1">2</definedName>
    <definedName name="solver_typ" localSheetId="5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7" hidden="1">0</definedName>
    <definedName name="solver_val" localSheetId="5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7" hidden="1">3</definedName>
    <definedName name="solver_ver" localSheetId="5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23" l="1"/>
  <c r="O7" i="23"/>
  <c r="O6" i="23"/>
  <c r="Z30" i="24"/>
  <c r="Z29" i="24"/>
  <c r="Z28" i="24"/>
  <c r="Z27" i="24"/>
  <c r="Z26" i="24"/>
  <c r="Z25" i="24"/>
  <c r="Z24" i="24"/>
  <c r="Z23" i="24"/>
  <c r="Z22" i="24"/>
  <c r="Z21" i="24"/>
  <c r="O15" i="24"/>
  <c r="O14" i="24"/>
  <c r="O13" i="24"/>
  <c r="O12" i="24"/>
  <c r="O11" i="24"/>
  <c r="O10" i="24"/>
  <c r="O9" i="24"/>
  <c r="O8" i="24"/>
  <c r="O7" i="24"/>
  <c r="O6" i="24"/>
  <c r="O3" i="24"/>
  <c r="Q17" i="24" s="1"/>
  <c r="O3" i="22"/>
  <c r="Q17" i="22" s="1"/>
  <c r="F9" i="17" s="1"/>
  <c r="Z29" i="22"/>
  <c r="Z30" i="22"/>
  <c r="Z22" i="22"/>
  <c r="Z23" i="22"/>
  <c r="Z24" i="22"/>
  <c r="Z25" i="22"/>
  <c r="Z26" i="22"/>
  <c r="Z27" i="22"/>
  <c r="Z28" i="22"/>
  <c r="Z21" i="22"/>
  <c r="Z22" i="13"/>
  <c r="Z23" i="13"/>
  <c r="Z24" i="13"/>
  <c r="Z25" i="13"/>
  <c r="Z26" i="13"/>
  <c r="Z27" i="13"/>
  <c r="Z28" i="13"/>
  <c r="Z21" i="13"/>
  <c r="AB30" i="23"/>
  <c r="AB31" i="23"/>
  <c r="AB29" i="23"/>
  <c r="AE31" i="23"/>
  <c r="AE30" i="23"/>
  <c r="AE29" i="23"/>
  <c r="AE27" i="23"/>
  <c r="AE26" i="23"/>
  <c r="AE25" i="23"/>
  <c r="AE24" i="23"/>
  <c r="O15" i="23"/>
  <c r="O14" i="23"/>
  <c r="O13" i="23"/>
  <c r="O12" i="23"/>
  <c r="O11" i="23"/>
  <c r="O10" i="23"/>
  <c r="O9" i="23"/>
  <c r="O3" i="23"/>
  <c r="Q17" i="23" s="1"/>
  <c r="O15" i="22"/>
  <c r="O14" i="22"/>
  <c r="O13" i="22"/>
  <c r="O12" i="22"/>
  <c r="O11" i="22"/>
  <c r="O10" i="22"/>
  <c r="O9" i="22"/>
  <c r="O8" i="22"/>
  <c r="O7" i="22"/>
  <c r="O6" i="22"/>
  <c r="O13" i="19"/>
  <c r="O12" i="19"/>
  <c r="O11" i="19"/>
  <c r="O10" i="19"/>
  <c r="O9" i="19"/>
  <c r="O8" i="19"/>
  <c r="O7" i="19"/>
  <c r="O6" i="19"/>
  <c r="O3" i="19"/>
  <c r="R15" i="19" s="1"/>
  <c r="F7" i="17" s="1" a="1"/>
  <c r="F7" i="17" s="1"/>
  <c r="O6" i="11"/>
  <c r="M10" i="7"/>
  <c r="O14" i="13"/>
  <c r="O15" i="13"/>
  <c r="O13" i="13"/>
  <c r="O11" i="13"/>
  <c r="O12" i="13"/>
  <c r="O10" i="13"/>
  <c r="O9" i="13"/>
  <c r="O8" i="13"/>
  <c r="O7" i="13"/>
  <c r="O6" i="13"/>
  <c r="O3" i="13"/>
  <c r="F8" i="17" s="1"/>
  <c r="S35" i="7"/>
  <c r="S34" i="7"/>
  <c r="S33" i="7"/>
  <c r="G10" i="17" l="1"/>
  <c r="H10" i="17"/>
  <c r="Q17" i="13"/>
  <c r="Q7" i="11"/>
  <c r="Q8" i="11"/>
  <c r="Q9" i="11"/>
  <c r="Q10" i="11"/>
  <c r="Q11" i="11"/>
  <c r="Q12" i="11"/>
  <c r="Q6" i="11"/>
  <c r="O23" i="11"/>
  <c r="O7" i="11"/>
  <c r="P28" i="7"/>
  <c r="V23" i="7"/>
  <c r="F10" i="17" l="1"/>
  <c r="O3" i="11"/>
  <c r="Q24" i="11"/>
  <c r="Q25" i="11"/>
  <c r="Q26" i="11"/>
  <c r="Q27" i="11"/>
  <c r="Q28" i="11"/>
  <c r="Q29" i="11"/>
  <c r="Q23" i="11"/>
  <c r="O30" i="11"/>
  <c r="O29" i="11"/>
  <c r="O28" i="11"/>
  <c r="O27" i="11"/>
  <c r="O26" i="11"/>
  <c r="O25" i="11"/>
  <c r="O24" i="11"/>
  <c r="O20" i="11"/>
  <c r="O13" i="11"/>
  <c r="O12" i="11"/>
  <c r="O11" i="11"/>
  <c r="O10" i="11"/>
  <c r="O9" i="11"/>
  <c r="O8" i="11"/>
  <c r="AL67" i="7"/>
  <c r="AL68" i="7"/>
  <c r="AL69" i="7"/>
  <c r="AL70" i="7"/>
  <c r="AL71" i="7"/>
  <c r="AL72" i="7"/>
  <c r="AL66" i="7"/>
  <c r="AJ73" i="7"/>
  <c r="AJ72" i="7"/>
  <c r="AJ71" i="7"/>
  <c r="AJ70" i="7"/>
  <c r="AJ69" i="7"/>
  <c r="AJ68" i="7"/>
  <c r="AJ67" i="7"/>
  <c r="AJ66" i="7"/>
  <c r="AJ63" i="7"/>
  <c r="AL52" i="7"/>
  <c r="AL53" i="7"/>
  <c r="AL54" i="7"/>
  <c r="AL55" i="7"/>
  <c r="AL56" i="7"/>
  <c r="AL57" i="7"/>
  <c r="AL51" i="7"/>
  <c r="AJ58" i="7"/>
  <c r="AJ57" i="7"/>
  <c r="AJ56" i="7"/>
  <c r="AJ55" i="7"/>
  <c r="AJ54" i="7"/>
  <c r="AJ53" i="7"/>
  <c r="AJ52" i="7"/>
  <c r="AJ51" i="7"/>
  <c r="AJ48" i="7"/>
  <c r="AJ33" i="7"/>
  <c r="AL43" i="7"/>
  <c r="AJ43" i="7"/>
  <c r="AJ42" i="7"/>
  <c r="AJ41" i="7"/>
  <c r="AJ40" i="7"/>
  <c r="AJ39" i="7"/>
  <c r="AJ38" i="7"/>
  <c r="AJ37" i="7"/>
  <c r="AJ36" i="7"/>
  <c r="S28" i="7"/>
  <c r="S39" i="7" s="1"/>
  <c r="AL42" i="7" s="1"/>
  <c r="R28" i="7"/>
  <c r="S38" i="7" s="1"/>
  <c r="AL41" i="7" s="1"/>
  <c r="O24" i="7"/>
  <c r="O25" i="7"/>
  <c r="O23" i="7"/>
  <c r="K11" i="7"/>
  <c r="K12" i="7"/>
  <c r="K10" i="7"/>
  <c r="H11" i="7"/>
  <c r="H12" i="7"/>
  <c r="H10" i="7"/>
  <c r="M6" i="7"/>
  <c r="Q28" i="7" s="1"/>
  <c r="S37" i="7" s="1"/>
  <c r="AL40" i="7" s="1"/>
  <c r="M5" i="7"/>
  <c r="S36" i="7" s="1"/>
  <c r="AL39" i="7" s="1"/>
  <c r="M12" i="7"/>
  <c r="V25" i="7" s="1"/>
  <c r="AL38" i="7" s="1"/>
  <c r="M11" i="7"/>
  <c r="V24" i="7" s="1"/>
  <c r="AL37" i="7" s="1"/>
  <c r="AL36" i="7"/>
  <c r="M8" i="7"/>
  <c r="M7" i="7"/>
  <c r="F5" i="17" l="1"/>
  <c r="F6" i="17" s="1"/>
  <c r="R1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<sst xmlns="http://schemas.openxmlformats.org/spreadsheetml/2006/main" count="580" uniqueCount="75">
  <si>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</si>
  <si>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</si>
  <si>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</si>
  <si>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</si>
  <si>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</si>
  <si>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</si>
  <si>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</si>
  <si>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</si>
  <si>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</si>
  <si>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</si>
  <si>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</si>
  <si>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X34</t>
  </si>
  <si>
    <t>Z</t>
  </si>
  <si>
    <t>Números de personas pertenecientes a la región</t>
  </si>
  <si>
    <t>Número de personas pertenecientes al grupo de Edad</t>
  </si>
  <si>
    <t>Cantidad mínima de personas agrupadas por edad</t>
  </si>
  <si>
    <t>Cantidad mínima de personas a entrevistar</t>
  </si>
  <si>
    <t>Variables Rango años, localidad y costo en dólares</t>
  </si>
  <si>
    <t>Solución Óptima</t>
  </si>
  <si>
    <t>Región</t>
  </si>
  <si>
    <t>Grupo de Edad</t>
  </si>
  <si>
    <t>Población</t>
  </si>
  <si>
    <t>%</t>
  </si>
  <si>
    <t>Coeficientes</t>
  </si>
  <si>
    <t>&gt;=</t>
  </si>
  <si>
    <t>Grupo de edad</t>
  </si>
  <si>
    <t>Restricciones</t>
  </si>
  <si>
    <t>LHS</t>
  </si>
  <si>
    <t>RHS</t>
  </si>
  <si>
    <t>∑X1j</t>
  </si>
  <si>
    <t>∑X2j</t>
  </si>
  <si>
    <t>Número total de personas agrupadas por edad</t>
  </si>
  <si>
    <t>∑X3j</t>
  </si>
  <si>
    <t>∑Xi1</t>
  </si>
  <si>
    <t>∑Xi2</t>
  </si>
  <si>
    <t>Costos de grupo por Edad (dólares)</t>
  </si>
  <si>
    <t>∑Xi3</t>
  </si>
  <si>
    <t>∑Xi4</t>
  </si>
  <si>
    <t>∑∑Xij</t>
  </si>
  <si>
    <t>=</t>
  </si>
  <si>
    <t>Cálculo</t>
  </si>
  <si>
    <t>Al menos</t>
  </si>
  <si>
    <t>CON SOLVER</t>
  </si>
  <si>
    <t xml:space="preserve">≥ </t>
  </si>
  <si>
    <t>SIN SOLVER</t>
  </si>
  <si>
    <t xml:space="preserve">Área Metropolitana San José (AMSJ) </t>
  </si>
  <si>
    <t xml:space="preserve">Gran Área Metropolitana (GAM) </t>
  </si>
  <si>
    <t xml:space="preserve">Resto del país </t>
  </si>
  <si>
    <t>15-24</t>
  </si>
  <si>
    <t>25-44</t>
  </si>
  <si>
    <t>45-64</t>
  </si>
  <si>
    <t>2000*25%</t>
  </si>
  <si>
    <t>2000*35%</t>
  </si>
  <si>
    <t>2000*20%</t>
  </si>
  <si>
    <t>65 o más</t>
  </si>
  <si>
    <t>2000*50%</t>
  </si>
  <si>
    <t>2000*30%</t>
  </si>
  <si>
    <t>SIN APLICAR SOLVER</t>
  </si>
  <si>
    <t>Grupo 15–24 ≤ 600</t>
  </si>
  <si>
    <t>AMSJ ≤ 650</t>
  </si>
  <si>
    <t>≤</t>
  </si>
  <si>
    <t xml:space="preserve"> </t>
  </si>
  <si>
    <t>NUEVOS %</t>
  </si>
  <si>
    <t>A</t>
  </si>
  <si>
    <t>B</t>
  </si>
  <si>
    <t>C</t>
  </si>
  <si>
    <t>D</t>
  </si>
  <si>
    <t>E</t>
  </si>
  <si>
    <t>F</t>
  </si>
  <si>
    <t>COSTO F</t>
  </si>
  <si>
    <t>COSTO E</t>
  </si>
  <si>
    <t>COTIZACIÓN: COSTO + 15%</t>
  </si>
  <si>
    <t>COTIZACIÓN 15%</t>
  </si>
  <si>
    <t>B)</t>
  </si>
  <si>
    <t>AUMENTO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</si>
</sst>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&quot;$&quot;* #,##0.0_-;\-&quot;$&quot;* #,##0.0_-;_-&quot;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EE7E5"/>
        <bgColor rgb="FFDEE7E5"/>
      </patternFill>
    </fill>
    <fill>
      <patternFill patternType="solid">
        <fgColor rgb="FFDDE8CB"/>
        <bgColor rgb="FFDDE8CB"/>
      </patternFill>
    </fill>
    <fill>
      <patternFill patternType="solid">
        <fgColor rgb="FFFFDBB6"/>
        <bgColor rgb="FFFFDBB6"/>
      </patternFill>
    </fill>
    <fill>
      <patternFill patternType="solid">
        <fgColor rgb="FFB4C7DC"/>
        <bgColor rgb="FFB4C7DC"/>
      </patternFill>
    </fill>
    <fill>
      <patternFill patternType="solid">
        <fgColor rgb="FFE0C2CD"/>
        <bgColor rgb="FFE0C2CD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99FF"/>
        <bgColor rgb="FFDEE7E5"/>
      </patternFill>
    </fill>
    <fill>
      <patternFill patternType="solid">
        <fgColor rgb="FF3A383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0" fillId="0" borderId="1" xfId="0" applyBorder="1"/>
    <xf numFmtId="0" fontId="2" fillId="0" borderId="0" xfId="0" applyFont="1"/>
    <xf numFmtId="0" fontId="0" fillId="5" borderId="1" xfId="0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2" fillId="6" borderId="1" xfId="0" applyFont="1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/>
    <xf numFmtId="0" fontId="0" fillId="13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10" borderId="6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164" fontId="1" fillId="0" borderId="1" xfId="1" applyFont="1" applyBorder="1" applyAlignment="1">
      <alignment vertical="center"/>
    </xf>
    <xf numFmtId="0" fontId="0" fillId="19" borderId="5" xfId="0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2" fontId="0" fillId="7" borderId="1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2" borderId="1" xfId="0" applyFont="1" applyFill="1" applyBorder="1"/>
    <xf numFmtId="0" fontId="0" fillId="22" borderId="1" xfId="0" applyFill="1" applyBorder="1"/>
    <xf numFmtId="0" fontId="0" fillId="22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7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24" borderId="1" xfId="0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left" vertical="center"/>
    </xf>
    <xf numFmtId="9" fontId="4" fillId="0" borderId="17" xfId="0" applyNumberFormat="1" applyFont="1" applyBorder="1" applyAlignment="1">
      <alignment horizontal="center" vertical="center"/>
    </xf>
    <xf numFmtId="9" fontId="4" fillId="0" borderId="17" xfId="2" applyFont="1" applyBorder="1" applyAlignment="1">
      <alignment horizontal="center" vertical="center"/>
    </xf>
    <xf numFmtId="0" fontId="8" fillId="2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22" borderId="26" xfId="0" applyFont="1" applyFill="1" applyBorder="1"/>
    <xf numFmtId="0" fontId="0" fillId="0" borderId="27" xfId="0" applyBorder="1" applyAlignment="1">
      <alignment horizontal="right" vertical="center"/>
    </xf>
    <xf numFmtId="0" fontId="0" fillId="0" borderId="3" xfId="0" applyBorder="1"/>
    <xf numFmtId="0" fontId="2" fillId="22" borderId="32" xfId="0" applyFont="1" applyFill="1" applyBorder="1"/>
    <xf numFmtId="0" fontId="2" fillId="22" borderId="33" xfId="0" applyFont="1" applyFill="1" applyBorder="1"/>
    <xf numFmtId="0" fontId="2" fillId="22" borderId="34" xfId="0" applyFont="1" applyFill="1" applyBorder="1"/>
    <xf numFmtId="0" fontId="0" fillId="0" borderId="2" xfId="0" applyBorder="1"/>
    <xf numFmtId="0" fontId="0" fillId="14" borderId="35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14" borderId="37" xfId="0" applyFill="1" applyBorder="1" applyAlignment="1">
      <alignment horizontal="center"/>
    </xf>
    <xf numFmtId="0" fontId="0" fillId="22" borderId="38" xfId="0" applyFill="1" applyBorder="1"/>
    <xf numFmtId="0" fontId="0" fillId="22" borderId="39" xfId="0" applyFill="1" applyBorder="1"/>
    <xf numFmtId="0" fontId="0" fillId="22" borderId="40" xfId="0" applyFill="1" applyBorder="1"/>
    <xf numFmtId="0" fontId="0" fillId="22" borderId="41" xfId="0" applyFill="1" applyBorder="1" applyAlignment="1">
      <alignment horizontal="center" vertical="center"/>
    </xf>
    <xf numFmtId="0" fontId="0" fillId="22" borderId="42" xfId="0" applyFill="1" applyBorder="1"/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2" fontId="0" fillId="2" borderId="27" xfId="3" applyNumberFormat="1" applyFont="1" applyFill="1" applyBorder="1" applyAlignment="1">
      <alignment horizontal="center" vertical="center"/>
    </xf>
    <xf numFmtId="2" fontId="0" fillId="2" borderId="28" xfId="3" applyNumberFormat="1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2" fillId="26" borderId="34" xfId="0" applyFont="1" applyFill="1" applyBorder="1"/>
    <xf numFmtId="0" fontId="0" fillId="26" borderId="3" xfId="0" applyFill="1" applyBorder="1"/>
    <xf numFmtId="0" fontId="0" fillId="26" borderId="1" xfId="0" applyFill="1" applyBorder="1"/>
    <xf numFmtId="0" fontId="0" fillId="26" borderId="2" xfId="0" applyFill="1" applyBorder="1"/>
    <xf numFmtId="0" fontId="0" fillId="26" borderId="1" xfId="0" applyFill="1" applyBorder="1" applyAlignment="1">
      <alignment horizontal="center" vertical="center"/>
    </xf>
    <xf numFmtId="0" fontId="0" fillId="26" borderId="40" xfId="0" applyFill="1" applyBorder="1"/>
    <xf numFmtId="0" fontId="0" fillId="26" borderId="41" xfId="0" applyFill="1" applyBorder="1" applyAlignment="1">
      <alignment horizontal="center" vertical="center"/>
    </xf>
    <xf numFmtId="0" fontId="0" fillId="26" borderId="42" xfId="0" applyFill="1" applyBorder="1"/>
    <xf numFmtId="0" fontId="0" fillId="0" borderId="0" xfId="0" applyFont="1"/>
    <xf numFmtId="0" fontId="2" fillId="1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9" fontId="0" fillId="5" borderId="1" xfId="0" applyNumberFormat="1" applyFont="1" applyFill="1" applyBorder="1" applyAlignment="1">
      <alignment horizontal="left"/>
    </xf>
    <xf numFmtId="9" fontId="0" fillId="5" borderId="0" xfId="0" applyNumberFormat="1" applyFont="1" applyFill="1" applyAlignment="1">
      <alignment horizontal="left"/>
    </xf>
    <xf numFmtId="2" fontId="2" fillId="26" borderId="1" xfId="0" applyNumberFormat="1" applyFont="1" applyFill="1" applyBorder="1"/>
    <xf numFmtId="0" fontId="0" fillId="27" borderId="1" xfId="0" applyFill="1" applyBorder="1"/>
    <xf numFmtId="2" fontId="2" fillId="27" borderId="1" xfId="0" applyNumberFormat="1" applyFont="1" applyFill="1" applyBorder="1"/>
    <xf numFmtId="0" fontId="0" fillId="8" borderId="1" xfId="0" applyFill="1" applyBorder="1"/>
    <xf numFmtId="2" fontId="2" fillId="8" borderId="1" xfId="0" applyNumberFormat="1" applyFont="1" applyFill="1" applyBorder="1"/>
    <xf numFmtId="0" fontId="0" fillId="28" borderId="1" xfId="0" applyFill="1" applyBorder="1"/>
    <xf numFmtId="2" fontId="2" fillId="28" borderId="1" xfId="0" applyNumberFormat="1" applyFont="1" applyFill="1" applyBorder="1"/>
    <xf numFmtId="0" fontId="0" fillId="29" borderId="1" xfId="0" applyFill="1" applyBorder="1"/>
    <xf numFmtId="2" fontId="2" fillId="29" borderId="1" xfId="0" applyNumberFormat="1" applyFont="1" applyFill="1" applyBorder="1"/>
    <xf numFmtId="0" fontId="0" fillId="30" borderId="1" xfId="0" applyFill="1" applyBorder="1"/>
    <xf numFmtId="2" fontId="2" fillId="30" borderId="1" xfId="0" applyNumberFormat="1" applyFont="1" applyFill="1" applyBorder="1"/>
    <xf numFmtId="0" fontId="0" fillId="0" borderId="1" xfId="0" applyBorder="1" applyAlignment="1">
      <alignment horizontal="center"/>
    </xf>
    <xf numFmtId="2" fontId="0" fillId="31" borderId="27" xfId="3" applyNumberFormat="1" applyFont="1" applyFill="1" applyBorder="1" applyAlignment="1">
      <alignment horizontal="center" vertical="center"/>
    </xf>
    <xf numFmtId="164" fontId="1" fillId="31" borderId="1" xfId="1" applyFont="1" applyFill="1" applyBorder="1" applyAlignment="1">
      <alignment vertical="center"/>
    </xf>
    <xf numFmtId="0" fontId="2" fillId="32" borderId="33" xfId="0" applyFont="1" applyFill="1" applyBorder="1"/>
    <xf numFmtId="0" fontId="0" fillId="32" borderId="3" xfId="0" applyFill="1" applyBorder="1"/>
    <xf numFmtId="0" fontId="0" fillId="32" borderId="1" xfId="0" applyFill="1" applyBorder="1"/>
    <xf numFmtId="0" fontId="0" fillId="32" borderId="2" xfId="0" applyFill="1" applyBorder="1"/>
    <xf numFmtId="0" fontId="0" fillId="32" borderId="38" xfId="0" applyFill="1" applyBorder="1"/>
    <xf numFmtId="0" fontId="0" fillId="32" borderId="1" xfId="0" applyFill="1" applyBorder="1" applyAlignment="1">
      <alignment horizontal="center" vertical="center"/>
    </xf>
    <xf numFmtId="0" fontId="0" fillId="32" borderId="39" xfId="0" applyFill="1" applyBorder="1"/>
    <xf numFmtId="0" fontId="2" fillId="30" borderId="33" xfId="0" applyFont="1" applyFill="1" applyBorder="1"/>
    <xf numFmtId="0" fontId="0" fillId="30" borderId="3" xfId="0" applyFill="1" applyBorder="1"/>
    <xf numFmtId="0" fontId="0" fillId="30" borderId="2" xfId="0" applyFill="1" applyBorder="1"/>
    <xf numFmtId="0" fontId="0" fillId="30" borderId="38" xfId="0" applyFill="1" applyBorder="1"/>
    <xf numFmtId="0" fontId="0" fillId="30" borderId="1" xfId="0" applyFill="1" applyBorder="1" applyAlignment="1">
      <alignment horizontal="center" vertical="center"/>
    </xf>
    <xf numFmtId="0" fontId="0" fillId="30" borderId="39" xfId="0" applyFill="1" applyBorder="1"/>
    <xf numFmtId="0" fontId="0" fillId="26" borderId="8" xfId="0" applyFill="1" applyBorder="1" applyAlignment="1">
      <alignment horizontal="center"/>
    </xf>
    <xf numFmtId="0" fontId="8" fillId="16" borderId="19" xfId="0" applyFont="1" applyFill="1" applyBorder="1" applyAlignment="1">
      <alignment horizontal="left" vertical="center"/>
    </xf>
    <xf numFmtId="0" fontId="8" fillId="16" borderId="2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6" fillId="20" borderId="13" xfId="0" applyFont="1" applyFill="1" applyBorder="1" applyAlignment="1">
      <alignment horizontal="center" vertical="center"/>
    </xf>
    <xf numFmtId="0" fontId="6" fillId="20" borderId="14" xfId="0" applyFont="1" applyFill="1" applyBorder="1" applyAlignment="1">
      <alignment horizontal="center" vertical="center"/>
    </xf>
    <xf numFmtId="0" fontId="6" fillId="20" borderId="13" xfId="0" applyFont="1" applyFill="1" applyBorder="1" applyAlignment="1">
      <alignment horizontal="center" vertical="center" wrapText="1"/>
    </xf>
    <xf numFmtId="0" fontId="6" fillId="20" borderId="18" xfId="0" applyFont="1" applyFill="1" applyBorder="1" applyAlignment="1">
      <alignment horizontal="center" vertical="center" wrapText="1"/>
    </xf>
    <xf numFmtId="0" fontId="8" fillId="25" borderId="15" xfId="0" applyFont="1" applyFill="1" applyBorder="1" applyAlignment="1">
      <alignment horizontal="left" vertical="center"/>
    </xf>
    <xf numFmtId="0" fontId="8" fillId="25" borderId="16" xfId="0" applyFont="1" applyFill="1" applyBorder="1" applyAlignment="1">
      <alignment horizontal="left" vertical="center"/>
    </xf>
    <xf numFmtId="0" fontId="6" fillId="20" borderId="10" xfId="0" applyFont="1" applyFill="1" applyBorder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0" fontId="6" fillId="20" borderId="21" xfId="0" applyFont="1" applyFill="1" applyBorder="1" applyAlignment="1">
      <alignment horizontal="center" vertical="center" wrapText="1"/>
    </xf>
    <xf numFmtId="0" fontId="6" fillId="20" borderId="22" xfId="0" applyFont="1" applyFill="1" applyBorder="1" applyAlignment="1">
      <alignment horizontal="center" vertical="center" wrapText="1"/>
    </xf>
    <xf numFmtId="0" fontId="6" fillId="20" borderId="11" xfId="0" applyFont="1" applyFill="1" applyBorder="1" applyAlignment="1">
      <alignment horizontal="center" vertical="center" wrapText="1"/>
    </xf>
    <xf numFmtId="0" fontId="8" fillId="16" borderId="23" xfId="0" applyFont="1" applyFill="1" applyBorder="1" applyAlignment="1">
      <alignment horizontal="left" vertical="center"/>
    </xf>
    <xf numFmtId="0" fontId="8" fillId="16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21" borderId="0" xfId="0" applyFill="1" applyAlignment="1">
      <alignment horizontal="center"/>
    </xf>
    <xf numFmtId="0" fontId="2" fillId="9" borderId="5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7" borderId="19" xfId="0" applyFill="1" applyBorder="1" applyAlignment="1">
      <alignment horizontal="center"/>
    </xf>
    <xf numFmtId="0" fontId="0" fillId="17" borderId="24" xfId="0" applyFill="1" applyBorder="1" applyAlignment="1">
      <alignment horizontal="center"/>
    </xf>
    <xf numFmtId="0" fontId="0" fillId="17" borderId="25" xfId="0" applyFill="1" applyBorder="1" applyAlignment="1">
      <alignment horizontal="center"/>
    </xf>
    <xf numFmtId="0" fontId="2" fillId="17" borderId="19" xfId="0" applyFont="1" applyFill="1" applyBorder="1" applyAlignment="1">
      <alignment horizontal="center"/>
    </xf>
    <xf numFmtId="0" fontId="2" fillId="17" borderId="24" xfId="0" applyFont="1" applyFill="1" applyBorder="1" applyAlignment="1">
      <alignment horizontal="center"/>
    </xf>
    <xf numFmtId="0" fontId="2" fillId="17" borderId="2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6" borderId="46" xfId="0" applyFont="1" applyFill="1" applyBorder="1" applyAlignment="1">
      <alignment horizontal="center"/>
    </xf>
    <xf numFmtId="0" fontId="2" fillId="26" borderId="47" xfId="0" applyFont="1" applyFill="1" applyBorder="1" applyAlignment="1">
      <alignment horizontal="center"/>
    </xf>
    <xf numFmtId="0" fontId="2" fillId="26" borderId="23" xfId="0" applyFont="1" applyFill="1" applyBorder="1" applyAlignment="1">
      <alignment horizontal="center"/>
    </xf>
    <xf numFmtId="0" fontId="2" fillId="26" borderId="44" xfId="0" applyFont="1" applyFill="1" applyBorder="1" applyAlignment="1">
      <alignment horizontal="center"/>
    </xf>
    <xf numFmtId="0" fontId="6" fillId="20" borderId="44" xfId="0" applyFont="1" applyFill="1" applyBorder="1" applyAlignment="1">
      <alignment horizontal="center" vertical="center"/>
    </xf>
    <xf numFmtId="0" fontId="6" fillId="20" borderId="4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FF00"/>
      <color rgb="FF9966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3BBE-F05C-48AC-A36C-0D2960EC4E4E}">
  <sheetPr codeName="Hoja1"/>
  <dimension ref="B1:AL73"/>
  <sheetViews>
    <sheetView workbookViewId="0">
      <selection activeCell="W45" sqref="W45:AL79"/>
    </sheetView>
  </sheetViews>
  <sheetFormatPr baseColWidth="10" defaultRowHeight="15" x14ac:dyDescent="0.25"/>
  <cols>
    <col min="2" max="2" width="34.28515625" customWidth="1"/>
    <col min="8" max="8" width="37.7109375" customWidth="1"/>
    <col min="9" max="9" width="7.42578125" customWidth="1"/>
    <col min="11" max="11" width="37.85546875" customWidth="1"/>
    <col min="12" max="12" width="13.28515625" customWidth="1"/>
    <col min="13" max="13" width="10.42578125" customWidth="1"/>
    <col min="15" max="15" width="31.42578125" customWidth="1"/>
    <col min="16" max="16" width="12.42578125" customWidth="1"/>
    <col min="20" max="20" width="27" customWidth="1"/>
    <col min="22" max="22" width="25.28515625" customWidth="1"/>
    <col min="23" max="23" width="16.85546875" customWidth="1"/>
    <col min="24" max="35" width="4.7109375" customWidth="1"/>
    <col min="36" max="36" width="5.85546875" customWidth="1"/>
    <col min="37" max="38" width="4.7109375" customWidth="1"/>
  </cols>
  <sheetData>
    <row r="1" spans="2:13" ht="15.75" thickBot="1" x14ac:dyDescent="0.3"/>
    <row r="2" spans="2:13" ht="15" customHeight="1" x14ac:dyDescent="0.25">
      <c r="B2" s="115" t="s">
        <v>17</v>
      </c>
      <c r="C2" s="116"/>
      <c r="D2" s="116"/>
      <c r="E2" s="116"/>
      <c r="F2" s="116"/>
      <c r="H2" s="122" t="s">
        <v>21</v>
      </c>
      <c r="I2" s="124" t="s">
        <v>22</v>
      </c>
      <c r="K2" s="122" t="s">
        <v>21</v>
      </c>
      <c r="L2" s="128" t="s">
        <v>40</v>
      </c>
      <c r="M2" s="131" t="s">
        <v>41</v>
      </c>
    </row>
    <row r="3" spans="2:13" ht="15.75" customHeight="1" thickBot="1" x14ac:dyDescent="0.3">
      <c r="B3" s="117" t="s">
        <v>19</v>
      </c>
      <c r="C3" s="119" t="s">
        <v>20</v>
      </c>
      <c r="D3" s="120"/>
      <c r="E3" s="120"/>
      <c r="F3" s="121"/>
      <c r="H3" s="123"/>
      <c r="I3" s="125"/>
      <c r="K3" s="123"/>
      <c r="L3" s="129"/>
      <c r="M3" s="132"/>
    </row>
    <row r="4" spans="2:13" ht="15.75" thickBot="1" x14ac:dyDescent="0.3">
      <c r="B4" s="118"/>
      <c r="C4" s="19" t="s">
        <v>48</v>
      </c>
      <c r="D4" s="19" t="s">
        <v>49</v>
      </c>
      <c r="E4" s="19" t="s">
        <v>50</v>
      </c>
      <c r="F4" s="19" t="s">
        <v>54</v>
      </c>
      <c r="H4" s="126" t="s">
        <v>25</v>
      </c>
      <c r="I4" s="127"/>
      <c r="K4" s="42" t="s">
        <v>25</v>
      </c>
      <c r="L4" s="130"/>
      <c r="M4" s="133"/>
    </row>
    <row r="5" spans="2:13" ht="15.75" thickBot="1" x14ac:dyDescent="0.3">
      <c r="B5" s="20" t="s">
        <v>45</v>
      </c>
      <c r="C5" s="21">
        <v>4.75</v>
      </c>
      <c r="D5" s="21">
        <v>5.75</v>
      </c>
      <c r="E5" s="21">
        <v>6.25</v>
      </c>
      <c r="F5" s="21">
        <v>5</v>
      </c>
      <c r="H5" s="19" t="s">
        <v>48</v>
      </c>
      <c r="I5" s="40">
        <v>0.2</v>
      </c>
      <c r="K5" s="19" t="s">
        <v>48</v>
      </c>
      <c r="L5" s="28" t="s">
        <v>51</v>
      </c>
      <c r="M5" s="28">
        <f>2000*I5</f>
        <v>400</v>
      </c>
    </row>
    <row r="6" spans="2:13" ht="15.75" thickBot="1" x14ac:dyDescent="0.3">
      <c r="B6" s="20" t="s">
        <v>46</v>
      </c>
      <c r="C6" s="21">
        <v>5.25</v>
      </c>
      <c r="D6" s="21">
        <v>6.5</v>
      </c>
      <c r="E6" s="21">
        <v>6.5</v>
      </c>
      <c r="F6" s="21">
        <v>6.25</v>
      </c>
      <c r="H6" s="19" t="s">
        <v>49</v>
      </c>
      <c r="I6" s="40">
        <v>0.3</v>
      </c>
      <c r="K6" s="19" t="s">
        <v>49</v>
      </c>
      <c r="L6" s="28" t="s">
        <v>52</v>
      </c>
      <c r="M6" s="28">
        <f>2000*I6</f>
        <v>600</v>
      </c>
    </row>
    <row r="7" spans="2:13" ht="15.75" customHeight="1" thickBot="1" x14ac:dyDescent="0.3">
      <c r="B7" s="20" t="s">
        <v>47</v>
      </c>
      <c r="C7" s="21">
        <v>6.5</v>
      </c>
      <c r="D7" s="21">
        <v>7.5</v>
      </c>
      <c r="E7" s="21">
        <v>7.5</v>
      </c>
      <c r="F7" s="21">
        <v>7.25</v>
      </c>
      <c r="H7" s="19" t="s">
        <v>50</v>
      </c>
      <c r="I7" s="40">
        <v>0.15</v>
      </c>
      <c r="K7" s="19" t="s">
        <v>50</v>
      </c>
      <c r="L7" s="28" t="s">
        <v>53</v>
      </c>
      <c r="M7" s="28">
        <f>2000*I7</f>
        <v>300</v>
      </c>
    </row>
    <row r="8" spans="2:13" ht="15.75" thickBot="1" x14ac:dyDescent="0.3">
      <c r="H8" s="19" t="s">
        <v>54</v>
      </c>
      <c r="I8" s="40">
        <v>0.15</v>
      </c>
      <c r="K8" s="19" t="s">
        <v>54</v>
      </c>
      <c r="L8" s="28" t="s">
        <v>53</v>
      </c>
      <c r="M8" s="28">
        <f>2000*I8</f>
        <v>300</v>
      </c>
    </row>
    <row r="9" spans="2:13" ht="15.75" customHeight="1" thickBot="1" x14ac:dyDescent="0.3">
      <c r="H9" s="113" t="s">
        <v>19</v>
      </c>
      <c r="I9" s="114"/>
      <c r="K9" s="134" t="s">
        <v>19</v>
      </c>
      <c r="L9" s="135"/>
      <c r="M9" s="135"/>
    </row>
    <row r="10" spans="2:13" ht="15.75" thickBot="1" x14ac:dyDescent="0.3">
      <c r="H10" s="39" t="str">
        <f>+B5</f>
        <v xml:space="preserve">Área Metropolitana San José (AMSJ) </v>
      </c>
      <c r="I10" s="41">
        <v>0.4</v>
      </c>
      <c r="K10" s="39" t="str">
        <f>+H10</f>
        <v xml:space="preserve">Área Metropolitana San José (AMSJ) </v>
      </c>
      <c r="L10" s="28" t="s">
        <v>53</v>
      </c>
      <c r="M10" s="28">
        <f>2000*I10</f>
        <v>800</v>
      </c>
    </row>
    <row r="11" spans="2:13" ht="15.75" thickBot="1" x14ac:dyDescent="0.3">
      <c r="H11" s="39" t="str">
        <f t="shared" ref="H11:H12" si="0">+B6</f>
        <v xml:space="preserve">Gran Área Metropolitana (GAM) </v>
      </c>
      <c r="I11" s="41">
        <v>0.2</v>
      </c>
      <c r="K11" s="39" t="str">
        <f t="shared" ref="K11:K12" si="1">+H11</f>
        <v xml:space="preserve">Gran Área Metropolitana (GAM) </v>
      </c>
      <c r="L11" s="28" t="s">
        <v>55</v>
      </c>
      <c r="M11" s="28">
        <f>2000*I11</f>
        <v>400</v>
      </c>
    </row>
    <row r="12" spans="2:13" ht="15.75" thickBot="1" x14ac:dyDescent="0.3">
      <c r="H12" s="39" t="str">
        <f t="shared" si="0"/>
        <v xml:space="preserve">Resto del país </v>
      </c>
      <c r="I12" s="41">
        <v>0.15</v>
      </c>
      <c r="K12" s="39" t="str">
        <f t="shared" si="1"/>
        <v xml:space="preserve">Resto del país </v>
      </c>
      <c r="L12" s="28" t="s">
        <v>56</v>
      </c>
      <c r="M12" s="28">
        <f>2000*I12</f>
        <v>300</v>
      </c>
    </row>
    <row r="20" spans="11:36" x14ac:dyDescent="0.25">
      <c r="K20" s="47"/>
    </row>
    <row r="21" spans="11:36" x14ac:dyDescent="0.25">
      <c r="O21" s="139" t="s">
        <v>13</v>
      </c>
      <c r="P21" s="139" t="s">
        <v>14</v>
      </c>
      <c r="Q21" s="139"/>
      <c r="R21" s="139"/>
      <c r="S21" s="139"/>
      <c r="T21" s="140" t="s">
        <v>15</v>
      </c>
      <c r="U21" s="136"/>
      <c r="V21" s="137" t="s">
        <v>16</v>
      </c>
    </row>
    <row r="22" spans="11:36" x14ac:dyDescent="0.25">
      <c r="O22" s="139"/>
      <c r="P22" s="43" t="s">
        <v>48</v>
      </c>
      <c r="Q22" s="43" t="s">
        <v>49</v>
      </c>
      <c r="R22" s="43" t="s">
        <v>50</v>
      </c>
      <c r="S22" s="43" t="s">
        <v>54</v>
      </c>
      <c r="T22" s="140"/>
      <c r="U22" s="136"/>
      <c r="V22" s="137"/>
    </row>
    <row r="23" spans="11:36" ht="30" x14ac:dyDescent="0.25">
      <c r="O23" s="23" t="str">
        <f>+K10</f>
        <v xml:space="preserve">Área Metropolitana San José (AMSJ) </v>
      </c>
      <c r="P23" s="11">
        <v>0</v>
      </c>
      <c r="Q23" s="11">
        <v>0</v>
      </c>
      <c r="R23" s="11">
        <v>0</v>
      </c>
      <c r="S23" s="11">
        <v>0</v>
      </c>
      <c r="T23" s="16">
        <v>0</v>
      </c>
      <c r="U23" s="18" t="s">
        <v>24</v>
      </c>
      <c r="V23" s="17">
        <f>+M10</f>
        <v>800</v>
      </c>
    </row>
    <row r="24" spans="11:36" x14ac:dyDescent="0.25">
      <c r="O24" s="23" t="str">
        <f t="shared" ref="O24:O25" si="2">+K11</f>
        <v xml:space="preserve">Gran Área Metropolitana (GAM) </v>
      </c>
      <c r="P24" s="11">
        <v>0</v>
      </c>
      <c r="Q24" s="11">
        <v>0</v>
      </c>
      <c r="R24" s="11">
        <v>0</v>
      </c>
      <c r="S24" s="11">
        <v>0</v>
      </c>
      <c r="T24" s="12">
        <v>0</v>
      </c>
      <c r="U24" s="18" t="s">
        <v>24</v>
      </c>
      <c r="V24" s="17">
        <f t="shared" ref="V24:V25" si="3">+M11</f>
        <v>400</v>
      </c>
    </row>
    <row r="25" spans="11:36" x14ac:dyDescent="0.25">
      <c r="O25" s="23" t="str">
        <f t="shared" si="2"/>
        <v xml:space="preserve">Resto del país </v>
      </c>
      <c r="P25" s="11">
        <v>0</v>
      </c>
      <c r="Q25" s="11">
        <v>0</v>
      </c>
      <c r="R25" s="11">
        <v>0</v>
      </c>
      <c r="S25" s="11">
        <v>0</v>
      </c>
      <c r="T25" s="12">
        <v>0</v>
      </c>
      <c r="U25" s="18" t="s">
        <v>24</v>
      </c>
      <c r="V25" s="17">
        <f t="shared" si="3"/>
        <v>300</v>
      </c>
    </row>
    <row r="26" spans="11:36" ht="30" x14ac:dyDescent="0.25">
      <c r="O26" s="24" t="s">
        <v>31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</row>
    <row r="27" spans="11:36" x14ac:dyDescent="0.25">
      <c r="O27" s="18"/>
      <c r="P27" s="18" t="s">
        <v>24</v>
      </c>
      <c r="Q27" s="18" t="s">
        <v>24</v>
      </c>
      <c r="R27" s="18" t="s">
        <v>24</v>
      </c>
      <c r="S27" s="18" t="s">
        <v>24</v>
      </c>
    </row>
    <row r="28" spans="11:36" ht="30" x14ac:dyDescent="0.25">
      <c r="O28" s="25" t="s">
        <v>16</v>
      </c>
      <c r="P28" s="13">
        <f>+M5</f>
        <v>400</v>
      </c>
      <c r="Q28" s="13">
        <f>M6</f>
        <v>600</v>
      </c>
      <c r="R28" s="13">
        <f>M7</f>
        <v>300</v>
      </c>
      <c r="S28" s="13">
        <f>M8</f>
        <v>300</v>
      </c>
    </row>
    <row r="29" spans="11:36" ht="30" x14ac:dyDescent="0.25">
      <c r="O29" s="38" t="s">
        <v>35</v>
      </c>
      <c r="P29" s="14">
        <v>0</v>
      </c>
      <c r="Q29" s="14">
        <v>0</v>
      </c>
      <c r="R29" s="14">
        <v>0</v>
      </c>
      <c r="S29" s="14">
        <v>0</v>
      </c>
      <c r="T29" s="22">
        <v>0</v>
      </c>
      <c r="U29" s="15"/>
    </row>
    <row r="32" spans="11:36" x14ac:dyDescent="0.25">
      <c r="P32" s="5" t="s">
        <v>26</v>
      </c>
      <c r="Q32" s="44" t="s">
        <v>27</v>
      </c>
      <c r="X32" s="9" t="s">
        <v>0</v>
      </c>
      <c r="Y32" s="9" t="s">
        <v>1</v>
      </c>
      <c r="Z32" s="9" t="s">
        <v>2</v>
      </c>
      <c r="AA32" s="9" t="s">
        <v>3</v>
      </c>
      <c r="AB32" s="9" t="s">
        <v>4</v>
      </c>
      <c r="AC32" s="9" t="s">
        <v>5</v>
      </c>
      <c r="AD32" s="9" t="s">
        <v>6</v>
      </c>
      <c r="AE32" s="9" t="s">
        <v>7</v>
      </c>
      <c r="AF32" s="9" t="s">
        <v>8</v>
      </c>
      <c r="AG32" s="9" t="s">
        <v>9</v>
      </c>
      <c r="AH32" s="9" t="s">
        <v>10</v>
      </c>
      <c r="AI32" s="9" t="s">
        <v>11</v>
      </c>
      <c r="AJ32" s="27" t="s">
        <v>12</v>
      </c>
    </row>
    <row r="33" spans="16:38" x14ac:dyDescent="0.25">
      <c r="P33" s="5" t="s">
        <v>29</v>
      </c>
      <c r="Q33" s="45">
        <v>4</v>
      </c>
      <c r="R33" s="8" t="s">
        <v>24</v>
      </c>
      <c r="S33" s="7">
        <f>+V23</f>
        <v>800</v>
      </c>
      <c r="W33" s="5" t="s">
        <v>18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26">
        <f>SUMPRODUCT(X33:AI33,X34:AI34)</f>
        <v>75</v>
      </c>
    </row>
    <row r="34" spans="16:38" x14ac:dyDescent="0.25">
      <c r="P34" s="5" t="s">
        <v>30</v>
      </c>
      <c r="Q34" s="45">
        <v>4</v>
      </c>
      <c r="R34" s="8" t="s">
        <v>24</v>
      </c>
      <c r="S34" s="7">
        <f>+V24</f>
        <v>400</v>
      </c>
      <c r="W34" s="5" t="s">
        <v>23</v>
      </c>
      <c r="X34" s="8">
        <v>4.75</v>
      </c>
      <c r="Y34" s="8">
        <v>5.75</v>
      </c>
      <c r="Z34" s="8">
        <v>6.25</v>
      </c>
      <c r="AA34" s="8">
        <v>5</v>
      </c>
      <c r="AB34" s="8">
        <v>5.25</v>
      </c>
      <c r="AC34" s="8">
        <v>6.5</v>
      </c>
      <c r="AD34" s="8">
        <v>6.5</v>
      </c>
      <c r="AE34" s="8">
        <v>6.25</v>
      </c>
      <c r="AF34" s="8">
        <v>6.5</v>
      </c>
      <c r="AG34" s="8">
        <v>7.5</v>
      </c>
      <c r="AH34" s="8">
        <v>7.5</v>
      </c>
      <c r="AI34" s="8">
        <v>7.25</v>
      </c>
    </row>
    <row r="35" spans="16:38" x14ac:dyDescent="0.25">
      <c r="P35" s="5" t="s">
        <v>32</v>
      </c>
      <c r="Q35" s="45">
        <v>4</v>
      </c>
      <c r="R35" s="8" t="s">
        <v>24</v>
      </c>
      <c r="S35" s="7">
        <f>+V25</f>
        <v>300</v>
      </c>
      <c r="W35" s="5" t="s">
        <v>26</v>
      </c>
      <c r="AJ35" s="6" t="s">
        <v>27</v>
      </c>
      <c r="AK35" s="4"/>
      <c r="AL35" s="6" t="s">
        <v>28</v>
      </c>
    </row>
    <row r="36" spans="16:38" x14ac:dyDescent="0.25">
      <c r="P36" s="5" t="s">
        <v>33</v>
      </c>
      <c r="Q36" s="45">
        <v>3</v>
      </c>
      <c r="R36" s="8" t="s">
        <v>24</v>
      </c>
      <c r="S36" s="7">
        <f>+P28</f>
        <v>400</v>
      </c>
      <c r="W36" s="5" t="s">
        <v>29</v>
      </c>
      <c r="X36" s="10">
        <v>1</v>
      </c>
      <c r="Y36" s="10">
        <v>1</v>
      </c>
      <c r="Z36" s="10">
        <v>1</v>
      </c>
      <c r="AA36" s="10">
        <v>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7">
        <f>SUMPRODUCT(X36:AI36,X33:AI33)</f>
        <v>4</v>
      </c>
      <c r="AK36" s="8" t="s">
        <v>24</v>
      </c>
      <c r="AL36" s="7">
        <f>+S33</f>
        <v>800</v>
      </c>
    </row>
    <row r="37" spans="16:38" x14ac:dyDescent="0.25">
      <c r="P37" s="5" t="s">
        <v>34</v>
      </c>
      <c r="Q37" s="45">
        <v>3</v>
      </c>
      <c r="R37" s="8" t="s">
        <v>24</v>
      </c>
      <c r="S37" s="7">
        <f>+Q28</f>
        <v>600</v>
      </c>
      <c r="W37" s="5" t="s">
        <v>30</v>
      </c>
      <c r="X37" s="1">
        <v>0</v>
      </c>
      <c r="Y37" s="1">
        <v>0</v>
      </c>
      <c r="Z37" s="1">
        <v>0</v>
      </c>
      <c r="AA37" s="1">
        <v>0</v>
      </c>
      <c r="AB37" s="10">
        <v>1</v>
      </c>
      <c r="AC37" s="10">
        <v>1</v>
      </c>
      <c r="AD37" s="10">
        <v>1</v>
      </c>
      <c r="AE37" s="10">
        <v>1</v>
      </c>
      <c r="AF37" s="1">
        <v>0</v>
      </c>
      <c r="AG37" s="1">
        <v>0</v>
      </c>
      <c r="AH37" s="1">
        <v>0</v>
      </c>
      <c r="AI37" s="1">
        <v>0</v>
      </c>
      <c r="AJ37" s="7">
        <f>SUMPRODUCT(X37:AI37,X33:AI33)</f>
        <v>4</v>
      </c>
      <c r="AK37" s="8" t="s">
        <v>24</v>
      </c>
      <c r="AL37" s="7">
        <f t="shared" ref="AL37:AL43" si="4">+S34</f>
        <v>400</v>
      </c>
    </row>
    <row r="38" spans="16:38" x14ac:dyDescent="0.25">
      <c r="P38" s="5" t="s">
        <v>36</v>
      </c>
      <c r="Q38" s="45">
        <v>3</v>
      </c>
      <c r="R38" s="8" t="s">
        <v>24</v>
      </c>
      <c r="S38" s="7">
        <f>+R28</f>
        <v>300</v>
      </c>
      <c r="W38" s="5" t="s">
        <v>32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0">
        <v>1</v>
      </c>
      <c r="AG38" s="10">
        <v>1</v>
      </c>
      <c r="AH38" s="10">
        <v>1</v>
      </c>
      <c r="AI38" s="10">
        <v>1</v>
      </c>
      <c r="AJ38" s="7">
        <f>SUMPRODUCT(X38:AI38,X33:AI33)</f>
        <v>4</v>
      </c>
      <c r="AK38" s="8" t="s">
        <v>24</v>
      </c>
      <c r="AL38" s="7">
        <f t="shared" si="4"/>
        <v>300</v>
      </c>
    </row>
    <row r="39" spans="16:38" x14ac:dyDescent="0.25">
      <c r="P39" s="5" t="s">
        <v>37</v>
      </c>
      <c r="Q39" s="45">
        <v>3</v>
      </c>
      <c r="R39" s="8" t="s">
        <v>24</v>
      </c>
      <c r="S39" s="7">
        <f>+S28</f>
        <v>300</v>
      </c>
      <c r="W39" s="5" t="s">
        <v>33</v>
      </c>
      <c r="X39" s="10">
        <v>1</v>
      </c>
      <c r="Y39" s="1">
        <v>0</v>
      </c>
      <c r="Z39" s="1">
        <v>0</v>
      </c>
      <c r="AA39" s="1">
        <v>0</v>
      </c>
      <c r="AB39" s="10">
        <v>1</v>
      </c>
      <c r="AC39" s="1">
        <v>0</v>
      </c>
      <c r="AD39" s="1">
        <v>0</v>
      </c>
      <c r="AE39" s="1">
        <v>0</v>
      </c>
      <c r="AF39" s="10">
        <v>1</v>
      </c>
      <c r="AG39" s="1">
        <v>0</v>
      </c>
      <c r="AH39" s="1">
        <v>0</v>
      </c>
      <c r="AI39" s="1">
        <v>0</v>
      </c>
      <c r="AJ39" s="7">
        <f>SUMPRODUCT(X39:AI39,X33:AI33)</f>
        <v>3</v>
      </c>
      <c r="AK39" s="8" t="s">
        <v>24</v>
      </c>
      <c r="AL39" s="7">
        <f t="shared" si="4"/>
        <v>400</v>
      </c>
    </row>
    <row r="40" spans="16:38" x14ac:dyDescent="0.25">
      <c r="P40" s="5" t="s">
        <v>38</v>
      </c>
      <c r="Q40" s="45">
        <v>12</v>
      </c>
      <c r="R40" s="8" t="s">
        <v>39</v>
      </c>
      <c r="S40" s="7">
        <v>2000</v>
      </c>
      <c r="W40" s="5" t="s">
        <v>34</v>
      </c>
      <c r="X40" s="1">
        <v>0</v>
      </c>
      <c r="Y40" s="10">
        <v>1</v>
      </c>
      <c r="Z40" s="1">
        <v>0</v>
      </c>
      <c r="AA40" s="1">
        <v>0</v>
      </c>
      <c r="AB40" s="1">
        <v>0</v>
      </c>
      <c r="AC40" s="10">
        <v>1</v>
      </c>
      <c r="AD40" s="1">
        <v>0</v>
      </c>
      <c r="AE40" s="1">
        <v>0</v>
      </c>
      <c r="AF40" s="1">
        <v>0</v>
      </c>
      <c r="AG40" s="10">
        <v>1</v>
      </c>
      <c r="AH40" s="1">
        <v>0</v>
      </c>
      <c r="AI40" s="1">
        <v>0</v>
      </c>
      <c r="AJ40" s="7">
        <f>SUMPRODUCT(X40:AI40,X33:AI33)</f>
        <v>3</v>
      </c>
      <c r="AK40" s="8" t="s">
        <v>24</v>
      </c>
      <c r="AL40" s="7">
        <f t="shared" si="4"/>
        <v>600</v>
      </c>
    </row>
    <row r="41" spans="16:38" x14ac:dyDescent="0.25">
      <c r="W41" s="5" t="s">
        <v>36</v>
      </c>
      <c r="X41" s="1">
        <v>0</v>
      </c>
      <c r="Y41" s="1">
        <v>0</v>
      </c>
      <c r="Z41" s="10">
        <v>1</v>
      </c>
      <c r="AA41" s="1">
        <v>0</v>
      </c>
      <c r="AB41" s="1">
        <v>0</v>
      </c>
      <c r="AC41" s="1">
        <v>0</v>
      </c>
      <c r="AD41" s="10">
        <v>1</v>
      </c>
      <c r="AE41" s="1">
        <v>0</v>
      </c>
      <c r="AF41" s="1">
        <v>0</v>
      </c>
      <c r="AG41" s="1">
        <v>0</v>
      </c>
      <c r="AH41" s="10">
        <v>1</v>
      </c>
      <c r="AI41" s="1">
        <v>0</v>
      </c>
      <c r="AJ41" s="7">
        <f>SUMPRODUCT(X41:AI41,X33:AI33)</f>
        <v>3</v>
      </c>
      <c r="AK41" s="8" t="s">
        <v>24</v>
      </c>
      <c r="AL41" s="7">
        <f t="shared" si="4"/>
        <v>300</v>
      </c>
    </row>
    <row r="42" spans="16:38" x14ac:dyDescent="0.25">
      <c r="W42" s="5" t="s">
        <v>37</v>
      </c>
      <c r="X42" s="1">
        <v>0</v>
      </c>
      <c r="Y42" s="1">
        <v>0</v>
      </c>
      <c r="Z42" s="1">
        <v>0</v>
      </c>
      <c r="AA42" s="10">
        <v>1</v>
      </c>
      <c r="AB42" s="1">
        <v>0</v>
      </c>
      <c r="AC42" s="1">
        <v>0</v>
      </c>
      <c r="AD42" s="1">
        <v>0</v>
      </c>
      <c r="AE42" s="10">
        <v>1</v>
      </c>
      <c r="AF42" s="1">
        <v>0</v>
      </c>
      <c r="AG42" s="1">
        <v>0</v>
      </c>
      <c r="AH42" s="1">
        <v>0</v>
      </c>
      <c r="AI42" s="10">
        <v>1</v>
      </c>
      <c r="AJ42" s="7">
        <f>SUMPRODUCT(X42:AI42,X33:AI33)</f>
        <v>3</v>
      </c>
      <c r="AK42" s="8" t="s">
        <v>24</v>
      </c>
      <c r="AL42" s="7">
        <f t="shared" si="4"/>
        <v>300</v>
      </c>
    </row>
    <row r="43" spans="16:38" x14ac:dyDescent="0.25">
      <c r="W43" s="5" t="s">
        <v>38</v>
      </c>
      <c r="X43" s="10">
        <v>1</v>
      </c>
      <c r="Y43" s="10">
        <v>1</v>
      </c>
      <c r="Z43" s="10">
        <v>1</v>
      </c>
      <c r="AA43" s="10">
        <v>1</v>
      </c>
      <c r="AB43" s="10">
        <v>1</v>
      </c>
      <c r="AC43" s="10">
        <v>1</v>
      </c>
      <c r="AD43" s="10">
        <v>1</v>
      </c>
      <c r="AE43" s="10">
        <v>1</v>
      </c>
      <c r="AF43" s="10">
        <v>1</v>
      </c>
      <c r="AG43" s="10">
        <v>1</v>
      </c>
      <c r="AH43" s="10">
        <v>1</v>
      </c>
      <c r="AI43" s="10">
        <v>1</v>
      </c>
      <c r="AJ43" s="7">
        <f>SUMPRODUCT(X43:AI43,X33:AI33)</f>
        <v>12</v>
      </c>
      <c r="AK43" s="8" t="s">
        <v>39</v>
      </c>
      <c r="AL43" s="7">
        <f t="shared" si="4"/>
        <v>2000</v>
      </c>
    </row>
    <row r="46" spans="16:38" x14ac:dyDescent="0.25">
      <c r="X46" s="138" t="s">
        <v>44</v>
      </c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</row>
    <row r="47" spans="16:38" x14ac:dyDescent="0.25">
      <c r="X47" s="9" t="s">
        <v>0</v>
      </c>
      <c r="Y47" s="9" t="s">
        <v>1</v>
      </c>
      <c r="Z47" s="9" t="s">
        <v>2</v>
      </c>
      <c r="AA47" s="9" t="s">
        <v>3</v>
      </c>
      <c r="AB47" s="9" t="s">
        <v>4</v>
      </c>
      <c r="AC47" s="9" t="s">
        <v>5</v>
      </c>
      <c r="AD47" s="9" t="s">
        <v>6</v>
      </c>
      <c r="AE47" s="9" t="s">
        <v>7</v>
      </c>
      <c r="AF47" s="9" t="s">
        <v>8</v>
      </c>
      <c r="AG47" s="9" t="s">
        <v>9</v>
      </c>
      <c r="AH47" s="9" t="s">
        <v>10</v>
      </c>
      <c r="AI47" s="9" t="s">
        <v>11</v>
      </c>
      <c r="AJ47" s="35" t="s">
        <v>12</v>
      </c>
    </row>
    <row r="48" spans="16:38" x14ac:dyDescent="0.25">
      <c r="W48" s="31" t="s">
        <v>18</v>
      </c>
      <c r="X48" s="36">
        <v>1</v>
      </c>
      <c r="Y48" s="36">
        <v>1</v>
      </c>
      <c r="Z48" s="36">
        <v>1</v>
      </c>
      <c r="AA48" s="36">
        <v>1</v>
      </c>
      <c r="AB48" s="36">
        <v>1</v>
      </c>
      <c r="AC48" s="36">
        <v>1</v>
      </c>
      <c r="AD48" s="36">
        <v>1</v>
      </c>
      <c r="AE48" s="36">
        <v>1</v>
      </c>
      <c r="AF48" s="36">
        <v>1</v>
      </c>
      <c r="AG48" s="36">
        <v>1</v>
      </c>
      <c r="AH48" s="36">
        <v>1</v>
      </c>
      <c r="AI48" s="36">
        <v>1</v>
      </c>
      <c r="AJ48" s="37">
        <f>SUMPRODUCT(X49:AI49,X48:AI48)</f>
        <v>75</v>
      </c>
    </row>
    <row r="49" spans="23:38" x14ac:dyDescent="0.25">
      <c r="W49" s="31" t="s">
        <v>23</v>
      </c>
      <c r="X49" s="29">
        <v>4.75</v>
      </c>
      <c r="Y49" s="29">
        <v>6.5</v>
      </c>
      <c r="Z49" s="29">
        <v>6.5</v>
      </c>
      <c r="AA49" s="29">
        <v>5</v>
      </c>
      <c r="AB49" s="29">
        <v>5.25</v>
      </c>
      <c r="AC49" s="29">
        <v>5.75</v>
      </c>
      <c r="AD49" s="29">
        <v>6.25</v>
      </c>
      <c r="AE49" s="29">
        <v>6.25</v>
      </c>
      <c r="AF49" s="29">
        <v>6.5</v>
      </c>
      <c r="AG49" s="29">
        <v>7.5</v>
      </c>
      <c r="AH49" s="29">
        <v>7.5</v>
      </c>
      <c r="AI49" s="29">
        <v>7.25</v>
      </c>
    </row>
    <row r="50" spans="23:38" x14ac:dyDescent="0.25">
      <c r="W50" s="31" t="s">
        <v>26</v>
      </c>
      <c r="AJ50" s="34" t="s">
        <v>27</v>
      </c>
      <c r="AK50" s="4"/>
      <c r="AL50" s="34" t="s">
        <v>28</v>
      </c>
    </row>
    <row r="51" spans="23:38" x14ac:dyDescent="0.25">
      <c r="W51" s="31" t="s">
        <v>29</v>
      </c>
      <c r="X51" s="1">
        <v>1</v>
      </c>
      <c r="Y51" s="1">
        <v>1</v>
      </c>
      <c r="Z51" s="1">
        <v>1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32">
        <f>SUMPRODUCT(X51:AI51,X48:AI48)</f>
        <v>4</v>
      </c>
      <c r="AK51" s="33" t="s">
        <v>43</v>
      </c>
      <c r="AL51" s="32">
        <f>+AL36</f>
        <v>800</v>
      </c>
    </row>
    <row r="52" spans="23:38" x14ac:dyDescent="0.25">
      <c r="W52" s="31" t="s">
        <v>30</v>
      </c>
      <c r="X52" s="1">
        <v>0</v>
      </c>
      <c r="Y52" s="1">
        <v>0</v>
      </c>
      <c r="Z52" s="1">
        <v>0</v>
      </c>
      <c r="AA52" s="1">
        <v>0</v>
      </c>
      <c r="AB52" s="1">
        <v>1</v>
      </c>
      <c r="AC52" s="1">
        <v>1</v>
      </c>
      <c r="AD52" s="1">
        <v>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32">
        <f>SUMPRODUCT(X52:AI52,X48:AI48)</f>
        <v>4</v>
      </c>
      <c r="AK52" s="33" t="s">
        <v>43</v>
      </c>
      <c r="AL52" s="32">
        <f t="shared" ref="AL52:AL57" si="5">+AL37</f>
        <v>400</v>
      </c>
    </row>
    <row r="53" spans="23:38" x14ac:dyDescent="0.25">
      <c r="W53" s="31" t="s">
        <v>32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1</v>
      </c>
      <c r="AH53" s="1">
        <v>1</v>
      </c>
      <c r="AI53" s="1">
        <v>1</v>
      </c>
      <c r="AJ53" s="32">
        <f>SUMPRODUCT(X53:AI53,X48:AI48)</f>
        <v>4</v>
      </c>
      <c r="AK53" s="33" t="s">
        <v>43</v>
      </c>
      <c r="AL53" s="32">
        <f t="shared" si="5"/>
        <v>300</v>
      </c>
    </row>
    <row r="54" spans="23:38" x14ac:dyDescent="0.25">
      <c r="W54" s="31" t="s">
        <v>33</v>
      </c>
      <c r="X54" s="1">
        <v>1</v>
      </c>
      <c r="Y54" s="1">
        <v>0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32">
        <f>SUMPRODUCT(X54:AI54,X48:AI48)</f>
        <v>3</v>
      </c>
      <c r="AK54" s="33" t="s">
        <v>43</v>
      </c>
      <c r="AL54" s="32">
        <f t="shared" si="5"/>
        <v>400</v>
      </c>
    </row>
    <row r="55" spans="23:38" x14ac:dyDescent="0.25">
      <c r="W55" s="31" t="s">
        <v>34</v>
      </c>
      <c r="X55" s="1">
        <v>0</v>
      </c>
      <c r="Y55" s="1">
        <v>1</v>
      </c>
      <c r="Z55" s="1">
        <v>0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32">
        <f>SUMPRODUCT(X55:AI55,X48:AI48)</f>
        <v>3</v>
      </c>
      <c r="AK55" s="33" t="s">
        <v>43</v>
      </c>
      <c r="AL55" s="32">
        <f t="shared" si="5"/>
        <v>600</v>
      </c>
    </row>
    <row r="56" spans="23:38" x14ac:dyDescent="0.25">
      <c r="W56" s="31" t="s">
        <v>36</v>
      </c>
      <c r="X56" s="1">
        <v>0</v>
      </c>
      <c r="Y56" s="1">
        <v>0</v>
      </c>
      <c r="Z56" s="1">
        <v>1</v>
      </c>
      <c r="AA56" s="1">
        <v>0</v>
      </c>
      <c r="AB56" s="1">
        <v>0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1</v>
      </c>
      <c r="AI56" s="1">
        <v>0</v>
      </c>
      <c r="AJ56" s="32">
        <f>SUMPRODUCT(X56:AI56,X48:AI48)</f>
        <v>3</v>
      </c>
      <c r="AK56" s="33" t="s">
        <v>43</v>
      </c>
      <c r="AL56" s="32">
        <f t="shared" si="5"/>
        <v>300</v>
      </c>
    </row>
    <row r="57" spans="23:38" x14ac:dyDescent="0.25">
      <c r="W57" s="31" t="s">
        <v>37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1</v>
      </c>
      <c r="AF57" s="1">
        <v>0</v>
      </c>
      <c r="AG57" s="1">
        <v>0</v>
      </c>
      <c r="AH57" s="1">
        <v>0</v>
      </c>
      <c r="AI57" s="1">
        <v>1</v>
      </c>
      <c r="AJ57" s="32">
        <f>SUMPRODUCT(X57:AI57,X48:AI48)</f>
        <v>3</v>
      </c>
      <c r="AK57" s="33" t="s">
        <v>43</v>
      </c>
      <c r="AL57" s="32">
        <f t="shared" si="5"/>
        <v>300</v>
      </c>
    </row>
    <row r="58" spans="23:38" x14ac:dyDescent="0.25">
      <c r="W58" s="31" t="s">
        <v>38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32">
        <f>SUMPRODUCT(X58:AI58,X48:AI48)</f>
        <v>12</v>
      </c>
      <c r="AK58" s="33" t="s">
        <v>39</v>
      </c>
      <c r="AL58" s="32">
        <v>2000</v>
      </c>
    </row>
    <row r="61" spans="23:38" x14ac:dyDescent="0.25">
      <c r="X61" s="138" t="s">
        <v>42</v>
      </c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</row>
    <row r="62" spans="23:38" x14ac:dyDescent="0.25">
      <c r="X62" s="9" t="s">
        <v>0</v>
      </c>
      <c r="Y62" s="9" t="s">
        <v>1</v>
      </c>
      <c r="Z62" s="9" t="s">
        <v>2</v>
      </c>
      <c r="AA62" s="9" t="s">
        <v>3</v>
      </c>
      <c r="AB62" s="9" t="s">
        <v>4</v>
      </c>
      <c r="AC62" s="9" t="s">
        <v>5</v>
      </c>
      <c r="AD62" s="9" t="s">
        <v>6</v>
      </c>
      <c r="AE62" s="9" t="s">
        <v>7</v>
      </c>
      <c r="AF62" s="9" t="s">
        <v>8</v>
      </c>
      <c r="AG62" s="9" t="s">
        <v>9</v>
      </c>
      <c r="AH62" s="9" t="s">
        <v>10</v>
      </c>
      <c r="AI62" s="9" t="s">
        <v>11</v>
      </c>
      <c r="AJ62" s="35" t="s">
        <v>12</v>
      </c>
    </row>
    <row r="63" spans="23:38" x14ac:dyDescent="0.25">
      <c r="W63" s="31" t="s">
        <v>18</v>
      </c>
      <c r="X63" s="36">
        <v>400</v>
      </c>
      <c r="Y63" s="36">
        <v>0</v>
      </c>
      <c r="Z63" s="36">
        <v>0</v>
      </c>
      <c r="AA63" s="36">
        <v>400</v>
      </c>
      <c r="AB63" s="36">
        <v>200</v>
      </c>
      <c r="AC63" s="36">
        <v>550</v>
      </c>
      <c r="AD63" s="36">
        <v>0</v>
      </c>
      <c r="AE63" s="36">
        <v>0</v>
      </c>
      <c r="AF63" s="36">
        <v>100</v>
      </c>
      <c r="AG63" s="36">
        <v>0</v>
      </c>
      <c r="AH63" s="36">
        <v>300</v>
      </c>
      <c r="AI63" s="36">
        <v>0</v>
      </c>
      <c r="AJ63" s="37">
        <f>SUMPRODUCT(X64:AI64,X63:AI63)</f>
        <v>11012.5</v>
      </c>
    </row>
    <row r="64" spans="23:38" x14ac:dyDescent="0.25">
      <c r="W64" s="31" t="s">
        <v>23</v>
      </c>
      <c r="X64" s="29">
        <v>4.75</v>
      </c>
      <c r="Y64" s="29">
        <v>6.5</v>
      </c>
      <c r="Z64" s="29">
        <v>6.5</v>
      </c>
      <c r="AA64" s="29">
        <v>5</v>
      </c>
      <c r="AB64" s="29">
        <v>5.25</v>
      </c>
      <c r="AC64" s="29">
        <v>5.75</v>
      </c>
      <c r="AD64" s="29">
        <v>6.25</v>
      </c>
      <c r="AE64" s="29">
        <v>6.25</v>
      </c>
      <c r="AF64" s="29">
        <v>6.5</v>
      </c>
      <c r="AG64" s="29">
        <v>7.5</v>
      </c>
      <c r="AH64" s="29">
        <v>7.5</v>
      </c>
      <c r="AI64" s="29">
        <v>7.25</v>
      </c>
    </row>
    <row r="65" spans="23:38" x14ac:dyDescent="0.25">
      <c r="W65" s="31" t="s">
        <v>26</v>
      </c>
      <c r="AJ65" s="34" t="s">
        <v>27</v>
      </c>
      <c r="AK65" s="4"/>
      <c r="AL65" s="34" t="s">
        <v>28</v>
      </c>
    </row>
    <row r="66" spans="23:38" x14ac:dyDescent="0.25">
      <c r="W66" s="31" t="s">
        <v>29</v>
      </c>
      <c r="X66" s="1">
        <v>1</v>
      </c>
      <c r="Y66" s="1">
        <v>1</v>
      </c>
      <c r="Z66" s="1">
        <v>1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32">
        <f>SUMPRODUCT(X66:AI66,X63:AI63)</f>
        <v>800</v>
      </c>
      <c r="AK66" s="33" t="s">
        <v>43</v>
      </c>
      <c r="AL66" s="32">
        <f>+AL36</f>
        <v>800</v>
      </c>
    </row>
    <row r="67" spans="23:38" x14ac:dyDescent="0.25">
      <c r="W67" s="31" t="s">
        <v>30</v>
      </c>
      <c r="X67" s="1">
        <v>0</v>
      </c>
      <c r="Y67" s="1">
        <v>0</v>
      </c>
      <c r="Z67" s="1">
        <v>0</v>
      </c>
      <c r="AA67" s="1">
        <v>0</v>
      </c>
      <c r="AB67" s="1">
        <v>1</v>
      </c>
      <c r="AC67" s="1">
        <v>1</v>
      </c>
      <c r="AD67" s="1">
        <v>1</v>
      </c>
      <c r="AE67" s="1">
        <v>1</v>
      </c>
      <c r="AF67" s="1">
        <v>0</v>
      </c>
      <c r="AG67" s="1">
        <v>0</v>
      </c>
      <c r="AH67" s="1">
        <v>0</v>
      </c>
      <c r="AI67" s="1">
        <v>0</v>
      </c>
      <c r="AJ67" s="32">
        <f>SUMPRODUCT(X67:AI67,X63:AI63)</f>
        <v>750</v>
      </c>
      <c r="AK67" s="33" t="s">
        <v>43</v>
      </c>
      <c r="AL67" s="32">
        <f t="shared" ref="AL67:AL72" si="6">+AL37</f>
        <v>400</v>
      </c>
    </row>
    <row r="68" spans="23:38" x14ac:dyDescent="0.25">
      <c r="W68" s="31" t="s">
        <v>32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1</v>
      </c>
      <c r="AH68" s="1">
        <v>1</v>
      </c>
      <c r="AI68" s="1">
        <v>1</v>
      </c>
      <c r="AJ68" s="32">
        <f>SUMPRODUCT(X68:AI68,X63:AI63)</f>
        <v>400</v>
      </c>
      <c r="AK68" s="33" t="s">
        <v>43</v>
      </c>
      <c r="AL68" s="32">
        <f t="shared" si="6"/>
        <v>300</v>
      </c>
    </row>
    <row r="69" spans="23:38" x14ac:dyDescent="0.25">
      <c r="W69" s="31" t="s">
        <v>33</v>
      </c>
      <c r="X69" s="1">
        <v>1</v>
      </c>
      <c r="Y69" s="1">
        <v>0</v>
      </c>
      <c r="Z69" s="1">
        <v>0</v>
      </c>
      <c r="AA69" s="1">
        <v>0</v>
      </c>
      <c r="AB69" s="1">
        <v>1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  <c r="AH69" s="1">
        <v>0</v>
      </c>
      <c r="AI69" s="1">
        <v>0</v>
      </c>
      <c r="AJ69" s="32">
        <f>SUMPRODUCT(X69:AI69,X63:AI63)</f>
        <v>700</v>
      </c>
      <c r="AK69" s="33" t="s">
        <v>43</v>
      </c>
      <c r="AL69" s="32">
        <f t="shared" si="6"/>
        <v>400</v>
      </c>
    </row>
    <row r="70" spans="23:38" x14ac:dyDescent="0.25">
      <c r="W70" s="31" t="s">
        <v>34</v>
      </c>
      <c r="X70" s="1">
        <v>0</v>
      </c>
      <c r="Y70" s="1">
        <v>1</v>
      </c>
      <c r="Z70" s="1">
        <v>0</v>
      </c>
      <c r="AA70" s="1">
        <v>0</v>
      </c>
      <c r="AB70" s="1">
        <v>0</v>
      </c>
      <c r="AC70" s="1">
        <v>1</v>
      </c>
      <c r="AD70" s="1">
        <v>0</v>
      </c>
      <c r="AE70" s="1">
        <v>0</v>
      </c>
      <c r="AF70" s="1">
        <v>0</v>
      </c>
      <c r="AG70" s="1">
        <v>1</v>
      </c>
      <c r="AH70" s="1">
        <v>0</v>
      </c>
      <c r="AI70" s="1">
        <v>0</v>
      </c>
      <c r="AJ70" s="32">
        <f>SUMPRODUCT(X70:AI70,X63:AI63)</f>
        <v>550</v>
      </c>
      <c r="AK70" s="33" t="s">
        <v>43</v>
      </c>
      <c r="AL70" s="32">
        <f t="shared" si="6"/>
        <v>600</v>
      </c>
    </row>
    <row r="71" spans="23:38" x14ac:dyDescent="0.25">
      <c r="W71" s="31" t="s">
        <v>36</v>
      </c>
      <c r="X71" s="1">
        <v>0</v>
      </c>
      <c r="Y71" s="1">
        <v>0</v>
      </c>
      <c r="Z71" s="1">
        <v>1</v>
      </c>
      <c r="AA71" s="1">
        <v>0</v>
      </c>
      <c r="AB71" s="1">
        <v>0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  <c r="AH71" s="1">
        <v>1</v>
      </c>
      <c r="AI71" s="1">
        <v>0</v>
      </c>
      <c r="AJ71" s="32">
        <f>SUMPRODUCT(X71:AI71,X63:AI63)</f>
        <v>300</v>
      </c>
      <c r="AK71" s="33" t="s">
        <v>43</v>
      </c>
      <c r="AL71" s="32">
        <f t="shared" si="6"/>
        <v>300</v>
      </c>
    </row>
    <row r="72" spans="23:38" x14ac:dyDescent="0.25">
      <c r="W72" s="31" t="s">
        <v>37</v>
      </c>
      <c r="X72" s="1">
        <v>0</v>
      </c>
      <c r="Y72" s="1">
        <v>0</v>
      </c>
      <c r="Z72" s="1">
        <v>0</v>
      </c>
      <c r="AA72" s="1">
        <v>1</v>
      </c>
      <c r="AB72" s="1">
        <v>0</v>
      </c>
      <c r="AC72" s="1">
        <v>0</v>
      </c>
      <c r="AD72" s="1">
        <v>0</v>
      </c>
      <c r="AE72" s="1">
        <v>1</v>
      </c>
      <c r="AF72" s="1">
        <v>0</v>
      </c>
      <c r="AG72" s="1">
        <v>0</v>
      </c>
      <c r="AH72" s="1">
        <v>0</v>
      </c>
      <c r="AI72" s="1">
        <v>1</v>
      </c>
      <c r="AJ72" s="32">
        <f>SUMPRODUCT(X72:AI72,X63:AI63)</f>
        <v>400</v>
      </c>
      <c r="AK72" s="33" t="s">
        <v>43</v>
      </c>
      <c r="AL72" s="32">
        <f t="shared" si="6"/>
        <v>300</v>
      </c>
    </row>
    <row r="73" spans="23:38" x14ac:dyDescent="0.25">
      <c r="W73" s="31" t="s">
        <v>38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1</v>
      </c>
      <c r="AI73" s="1">
        <v>1</v>
      </c>
      <c r="AJ73" s="32">
        <f>SUMPRODUCT(X73:AI73,X63:AI63)</f>
        <v>1950</v>
      </c>
      <c r="AK73" s="33" t="s">
        <v>39</v>
      </c>
      <c r="AL73" s="32">
        <v>2000</v>
      </c>
    </row>
  </sheetData>
  <mergeCells count="18">
    <mergeCell ref="V21:V22"/>
    <mergeCell ref="X46:AK46"/>
    <mergeCell ref="X61:AK61"/>
    <mergeCell ref="O21:O22"/>
    <mergeCell ref="P21:S21"/>
    <mergeCell ref="T21:T22"/>
    <mergeCell ref="K2:K3"/>
    <mergeCell ref="L2:L4"/>
    <mergeCell ref="M2:M4"/>
    <mergeCell ref="K9:M9"/>
    <mergeCell ref="U21:U22"/>
    <mergeCell ref="H9:I9"/>
    <mergeCell ref="B2:F2"/>
    <mergeCell ref="B3:B4"/>
    <mergeCell ref="C3:F3"/>
    <mergeCell ref="H2:H3"/>
    <mergeCell ref="I2:I3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C2C2-9C1D-4834-970A-AD1306342076}">
  <sheetPr codeName="Hoja3"/>
  <dimension ref="B1:Z30"/>
  <sheetViews>
    <sheetView showGridLines="0" zoomScale="95" zoomScaleNormal="95" workbookViewId="0">
      <selection activeCell="O16" sqref="O16"/>
    </sheetView>
  </sheetViews>
  <sheetFormatPr baseColWidth="10" defaultColWidth="9.140625" defaultRowHeight="15" x14ac:dyDescent="0.25"/>
  <cols>
    <col min="2" max="2" width="14.7109375" customWidth="1"/>
    <col min="3" max="3" width="5.7109375" customWidth="1"/>
    <col min="4" max="5" width="6.28515625" customWidth="1"/>
    <col min="6" max="6" width="5.5703125" customWidth="1"/>
    <col min="7" max="7" width="6.140625" customWidth="1"/>
    <col min="8" max="8" width="5.28515625" customWidth="1"/>
    <col min="9" max="10" width="6.42578125" customWidth="1"/>
    <col min="11" max="11" width="6.7109375" customWidth="1"/>
    <col min="12" max="12" width="6.42578125" customWidth="1"/>
    <col min="13" max="13" width="6.140625" customWidth="1"/>
    <col min="14" max="14" width="5.7109375" customWidth="1"/>
    <col min="15" max="15" width="6.28515625" customWidth="1"/>
    <col min="16" max="16" width="2.7109375" customWidth="1"/>
    <col min="17" max="17" width="5.28515625" customWidth="1"/>
    <col min="22" max="22" width="11.7109375" bestFit="1" customWidth="1"/>
    <col min="24" max="24" width="11.5703125" customWidth="1"/>
    <col min="25" max="25" width="9.85546875" customWidth="1"/>
    <col min="26" max="26" width="11.28515625" customWidth="1"/>
    <col min="28" max="28" width="11.28515625" customWidth="1"/>
    <col min="29" max="29" width="11.42578125" customWidth="1"/>
    <col min="30" max="30" width="11.140625" customWidth="1"/>
  </cols>
  <sheetData>
    <row r="1" spans="2:26" ht="15.75" thickBot="1" x14ac:dyDescent="0.3">
      <c r="C1" s="141" t="s">
        <v>42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3"/>
      <c r="W1">
        <v>4.75</v>
      </c>
      <c r="X1">
        <v>5.75</v>
      </c>
      <c r="Y1">
        <v>6.25</v>
      </c>
      <c r="Z1">
        <v>5</v>
      </c>
    </row>
    <row r="2" spans="2:26" ht="15.75" thickBot="1" x14ac:dyDescent="0.3">
      <c r="C2" s="63" t="s">
        <v>0</v>
      </c>
      <c r="D2" s="64" t="s">
        <v>1</v>
      </c>
      <c r="E2" s="64" t="s">
        <v>2</v>
      </c>
      <c r="F2" s="64" t="s">
        <v>3</v>
      </c>
      <c r="G2" s="64" t="s">
        <v>4</v>
      </c>
      <c r="H2" s="64" t="s">
        <v>5</v>
      </c>
      <c r="I2" s="64" t="s">
        <v>6</v>
      </c>
      <c r="J2" s="64" t="s">
        <v>7</v>
      </c>
      <c r="K2" s="64" t="s">
        <v>8</v>
      </c>
      <c r="L2" s="64" t="s">
        <v>9</v>
      </c>
      <c r="M2" s="64" t="s">
        <v>10</v>
      </c>
      <c r="N2" s="64" t="s">
        <v>11</v>
      </c>
      <c r="O2" s="69" t="s">
        <v>12</v>
      </c>
    </row>
    <row r="3" spans="2:26" ht="15.75" thickBot="1" x14ac:dyDescent="0.3">
      <c r="B3" s="48" t="s">
        <v>18</v>
      </c>
      <c r="C3" s="49">
        <v>400</v>
      </c>
      <c r="D3" s="49">
        <v>600</v>
      </c>
      <c r="E3" s="49">
        <v>0</v>
      </c>
      <c r="F3" s="49">
        <v>300</v>
      </c>
      <c r="G3" s="49">
        <v>400</v>
      </c>
      <c r="H3" s="49">
        <v>0</v>
      </c>
      <c r="I3" s="49">
        <v>0</v>
      </c>
      <c r="J3" s="49">
        <v>0</v>
      </c>
      <c r="K3" s="49">
        <v>0</v>
      </c>
      <c r="L3" s="49">
        <v>0</v>
      </c>
      <c r="M3" s="49">
        <v>300</v>
      </c>
      <c r="N3" s="49">
        <v>0</v>
      </c>
      <c r="O3" s="70">
        <f>SUMPRODUCT(C4:N4,C3:N3)</f>
        <v>11200</v>
      </c>
    </row>
    <row r="4" spans="2:26" ht="15.75" thickBot="1" x14ac:dyDescent="0.3">
      <c r="B4" s="48" t="s">
        <v>23</v>
      </c>
      <c r="C4" s="65">
        <v>4.75</v>
      </c>
      <c r="D4" s="65">
        <v>5.75</v>
      </c>
      <c r="E4" s="65">
        <v>6.25</v>
      </c>
      <c r="F4" s="65">
        <v>5</v>
      </c>
      <c r="G4" s="65">
        <v>5.25</v>
      </c>
      <c r="H4" s="65">
        <v>6.5</v>
      </c>
      <c r="I4" s="65">
        <v>6.5</v>
      </c>
      <c r="J4" s="65">
        <v>6.25</v>
      </c>
      <c r="K4" s="65">
        <v>6.5</v>
      </c>
      <c r="L4" s="65">
        <v>7.5</v>
      </c>
      <c r="M4" s="65">
        <v>7.5</v>
      </c>
      <c r="N4" s="66">
        <v>7.25</v>
      </c>
    </row>
    <row r="5" spans="2:26" x14ac:dyDescent="0.25">
      <c r="B5" s="51" t="s">
        <v>26</v>
      </c>
      <c r="O5" s="55" t="s">
        <v>27</v>
      </c>
      <c r="P5" s="56"/>
      <c r="Q5" s="57" t="s">
        <v>28</v>
      </c>
    </row>
    <row r="6" spans="2:26" x14ac:dyDescent="0.25">
      <c r="B6" s="52" t="s">
        <v>29</v>
      </c>
      <c r="C6" s="50">
        <v>1</v>
      </c>
      <c r="D6" s="1">
        <v>1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54">
        <v>0</v>
      </c>
      <c r="O6" s="58">
        <f>SUMPRODUCT(C6:N6,C3:N3)</f>
        <v>1300</v>
      </c>
      <c r="P6" s="33" t="s">
        <v>43</v>
      </c>
      <c r="Q6" s="59">
        <f t="shared" ref="Q6:Q12" si="0">+Q23</f>
        <v>800</v>
      </c>
    </row>
    <row r="7" spans="2:26" ht="30" customHeight="1" x14ac:dyDescent="0.25">
      <c r="B7" s="52" t="s">
        <v>30</v>
      </c>
      <c r="C7" s="50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54">
        <v>0</v>
      </c>
      <c r="O7" s="58">
        <f>SUMPRODUCT(C7:N7,C3:N3)</f>
        <v>400</v>
      </c>
      <c r="P7" s="33" t="s">
        <v>43</v>
      </c>
      <c r="Q7" s="59">
        <f t="shared" si="0"/>
        <v>400</v>
      </c>
    </row>
    <row r="8" spans="2:26" x14ac:dyDescent="0.25">
      <c r="B8" s="52" t="s">
        <v>32</v>
      </c>
      <c r="C8" s="50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1</v>
      </c>
      <c r="N8" s="54">
        <v>1</v>
      </c>
      <c r="O8" s="58">
        <f>SUMPRODUCT(C8:N8,C3:N3)</f>
        <v>300</v>
      </c>
      <c r="P8" s="33" t="s">
        <v>43</v>
      </c>
      <c r="Q8" s="59">
        <f t="shared" si="0"/>
        <v>300</v>
      </c>
    </row>
    <row r="9" spans="2:26" x14ac:dyDescent="0.25">
      <c r="B9" s="52" t="s">
        <v>33</v>
      </c>
      <c r="C9" s="50">
        <v>1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54">
        <v>0</v>
      </c>
      <c r="O9" s="58">
        <f>SUMPRODUCT(C9:N9,C3:N3)</f>
        <v>800</v>
      </c>
      <c r="P9" s="33" t="s">
        <v>43</v>
      </c>
      <c r="Q9" s="59">
        <f t="shared" si="0"/>
        <v>400</v>
      </c>
    </row>
    <row r="10" spans="2:26" x14ac:dyDescent="0.25">
      <c r="B10" s="52" t="s">
        <v>34</v>
      </c>
      <c r="C10" s="50">
        <v>0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54">
        <v>0</v>
      </c>
      <c r="O10" s="58">
        <f>SUMPRODUCT(C10:N10,C3:N3)</f>
        <v>600</v>
      </c>
      <c r="P10" s="33" t="s">
        <v>43</v>
      </c>
      <c r="Q10" s="59">
        <f t="shared" si="0"/>
        <v>600</v>
      </c>
    </row>
    <row r="11" spans="2:26" x14ac:dyDescent="0.25">
      <c r="B11" s="52" t="s">
        <v>36</v>
      </c>
      <c r="C11" s="50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54">
        <v>0</v>
      </c>
      <c r="O11" s="58">
        <f>SUMPRODUCT(C11:N11,C3:N3)</f>
        <v>300</v>
      </c>
      <c r="P11" s="33" t="s">
        <v>43</v>
      </c>
      <c r="Q11" s="59">
        <f t="shared" si="0"/>
        <v>300</v>
      </c>
    </row>
    <row r="12" spans="2:26" x14ac:dyDescent="0.25">
      <c r="B12" s="52" t="s">
        <v>37</v>
      </c>
      <c r="C12" s="50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54">
        <v>1</v>
      </c>
      <c r="O12" s="58">
        <f>SUMPRODUCT(C12:N12,C3:N3)</f>
        <v>300</v>
      </c>
      <c r="P12" s="33" t="s">
        <v>43</v>
      </c>
      <c r="Q12" s="59">
        <f t="shared" si="0"/>
        <v>300</v>
      </c>
    </row>
    <row r="13" spans="2:26" ht="15.75" thickBot="1" x14ac:dyDescent="0.3">
      <c r="B13" s="53" t="s">
        <v>38</v>
      </c>
      <c r="C13" s="50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54">
        <v>1</v>
      </c>
      <c r="O13" s="60">
        <f>SUMPRODUCT(C13:N13,C3:N3)</f>
        <v>2000</v>
      </c>
      <c r="P13" s="61" t="s">
        <v>39</v>
      </c>
      <c r="Q13" s="62">
        <v>2000</v>
      </c>
    </row>
    <row r="14" spans="2:26" x14ac:dyDescent="0.25">
      <c r="B14" s="2"/>
      <c r="P14" s="30"/>
    </row>
    <row r="15" spans="2:26" x14ac:dyDescent="0.25">
      <c r="B15" s="2"/>
      <c r="L15" t="s">
        <v>73</v>
      </c>
      <c r="M15" s="147" t="s">
        <v>72</v>
      </c>
      <c r="N15" s="148"/>
      <c r="O15" s="148"/>
      <c r="P15" s="148"/>
      <c r="Q15" s="149"/>
      <c r="R15" s="150">
        <f>+$O$3*1.15</f>
        <v>12879.999999999998</v>
      </c>
      <c r="S15" s="150"/>
    </row>
    <row r="17" spans="2:17" ht="15.75" thickBot="1" x14ac:dyDescent="0.3"/>
    <row r="18" spans="2:17" ht="15.75" thickBot="1" x14ac:dyDescent="0.3">
      <c r="C18" s="144" t="s">
        <v>57</v>
      </c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6"/>
    </row>
    <row r="19" spans="2:17" ht="15.75" thickBot="1" x14ac:dyDescent="0.3">
      <c r="C19" s="63" t="s">
        <v>0</v>
      </c>
      <c r="D19" s="64" t="s">
        <v>1</v>
      </c>
      <c r="E19" s="64" t="s">
        <v>2</v>
      </c>
      <c r="F19" s="64" t="s">
        <v>3</v>
      </c>
      <c r="G19" s="64" t="s">
        <v>4</v>
      </c>
      <c r="H19" s="64" t="s">
        <v>5</v>
      </c>
      <c r="I19" s="64" t="s">
        <v>6</v>
      </c>
      <c r="J19" s="64" t="s">
        <v>7</v>
      </c>
      <c r="K19" s="64" t="s">
        <v>8</v>
      </c>
      <c r="L19" s="64" t="s">
        <v>9</v>
      </c>
      <c r="M19" s="64" t="s">
        <v>10</v>
      </c>
      <c r="N19" s="64" t="s">
        <v>11</v>
      </c>
      <c r="O19" s="67" t="s">
        <v>12</v>
      </c>
    </row>
    <row r="20" spans="2:17" ht="15.75" thickBot="1" x14ac:dyDescent="0.3">
      <c r="B20" s="48" t="s">
        <v>18</v>
      </c>
      <c r="C20" s="49">
        <v>1</v>
      </c>
      <c r="D20" s="49">
        <v>1</v>
      </c>
      <c r="E20" s="49">
        <v>1</v>
      </c>
      <c r="F20" s="49">
        <v>1</v>
      </c>
      <c r="G20" s="49">
        <v>1</v>
      </c>
      <c r="H20" s="49">
        <v>1</v>
      </c>
      <c r="I20" s="49">
        <v>1</v>
      </c>
      <c r="J20" s="49">
        <v>1</v>
      </c>
      <c r="K20" s="49">
        <v>1</v>
      </c>
      <c r="L20" s="49">
        <v>1</v>
      </c>
      <c r="M20" s="49">
        <v>1</v>
      </c>
      <c r="N20" s="49">
        <v>1</v>
      </c>
      <c r="O20" s="68">
        <f>SUMPRODUCT(C21:N21,C20:N20)</f>
        <v>75</v>
      </c>
    </row>
    <row r="21" spans="2:17" ht="15.75" thickBot="1" x14ac:dyDescent="0.3">
      <c r="B21" s="48" t="s">
        <v>23</v>
      </c>
      <c r="C21" s="65">
        <v>4.75</v>
      </c>
      <c r="D21" s="65">
        <v>5.75</v>
      </c>
      <c r="E21" s="65">
        <v>6.25</v>
      </c>
      <c r="F21" s="65">
        <v>5</v>
      </c>
      <c r="G21" s="65">
        <v>5.25</v>
      </c>
      <c r="H21" s="65">
        <v>6.5</v>
      </c>
      <c r="I21" s="65">
        <v>6.5</v>
      </c>
      <c r="J21" s="65">
        <v>6.25</v>
      </c>
      <c r="K21" s="65">
        <v>6.5</v>
      </c>
      <c r="L21" s="65">
        <v>7.5</v>
      </c>
      <c r="M21" s="65">
        <v>7.5</v>
      </c>
      <c r="N21" s="66">
        <v>7.25</v>
      </c>
    </row>
    <row r="22" spans="2:17" x14ac:dyDescent="0.25">
      <c r="B22" s="51" t="s">
        <v>26</v>
      </c>
      <c r="O22" s="55" t="s">
        <v>27</v>
      </c>
      <c r="P22" s="56"/>
      <c r="Q22" s="57" t="s">
        <v>28</v>
      </c>
    </row>
    <row r="23" spans="2:17" x14ac:dyDescent="0.25">
      <c r="B23" s="52" t="s">
        <v>29</v>
      </c>
      <c r="C23" s="50">
        <v>1</v>
      </c>
      <c r="D23" s="1">
        <v>1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54">
        <v>0</v>
      </c>
      <c r="O23" s="58">
        <f>SUMPRODUCT(C23:N23,C20:N20)</f>
        <v>4</v>
      </c>
      <c r="P23" s="33" t="s">
        <v>43</v>
      </c>
      <c r="Q23" s="59">
        <f>+'PARTE A '!AL36</f>
        <v>800</v>
      </c>
    </row>
    <row r="24" spans="2:17" x14ac:dyDescent="0.25">
      <c r="B24" s="52" t="s">
        <v>30</v>
      </c>
      <c r="C24" s="50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</v>
      </c>
      <c r="J24" s="1">
        <v>1</v>
      </c>
      <c r="K24" s="1">
        <v>0</v>
      </c>
      <c r="L24" s="1">
        <v>0</v>
      </c>
      <c r="M24" s="1">
        <v>0</v>
      </c>
      <c r="N24" s="54">
        <v>0</v>
      </c>
      <c r="O24" s="58">
        <f>SUMPRODUCT(C24:N24,C20:N20)</f>
        <v>4</v>
      </c>
      <c r="P24" s="33" t="s">
        <v>43</v>
      </c>
      <c r="Q24" s="59">
        <f>+'PARTE A '!AL37</f>
        <v>400</v>
      </c>
    </row>
    <row r="25" spans="2:17" x14ac:dyDescent="0.25">
      <c r="B25" s="52" t="s">
        <v>32</v>
      </c>
      <c r="C25" s="50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1</v>
      </c>
      <c r="M25" s="1">
        <v>1</v>
      </c>
      <c r="N25" s="54">
        <v>1</v>
      </c>
      <c r="O25" s="58">
        <f>SUMPRODUCT(C25:N25,C20:N20)</f>
        <v>4</v>
      </c>
      <c r="P25" s="33" t="s">
        <v>43</v>
      </c>
      <c r="Q25" s="59">
        <f>+'PARTE A '!AL38</f>
        <v>300</v>
      </c>
    </row>
    <row r="26" spans="2:17" x14ac:dyDescent="0.25">
      <c r="B26" s="52" t="s">
        <v>33</v>
      </c>
      <c r="C26" s="50">
        <v>1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54">
        <v>0</v>
      </c>
      <c r="O26" s="58">
        <f>SUMPRODUCT(C26:N26,C20:N20)</f>
        <v>3</v>
      </c>
      <c r="P26" s="33" t="s">
        <v>43</v>
      </c>
      <c r="Q26" s="59">
        <f>+'PARTE A '!AL39</f>
        <v>400</v>
      </c>
    </row>
    <row r="27" spans="2:17" x14ac:dyDescent="0.25">
      <c r="B27" s="52" t="s">
        <v>34</v>
      </c>
      <c r="C27" s="50">
        <v>0</v>
      </c>
      <c r="D27" s="1">
        <v>1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54">
        <v>0</v>
      </c>
      <c r="O27" s="58">
        <f>SUMPRODUCT(C27:N27,C20:N20)</f>
        <v>3</v>
      </c>
      <c r="P27" s="33" t="s">
        <v>43</v>
      </c>
      <c r="Q27" s="59">
        <f>+'PARTE A '!AL40</f>
        <v>600</v>
      </c>
    </row>
    <row r="28" spans="2:17" x14ac:dyDescent="0.25">
      <c r="B28" s="52" t="s">
        <v>36</v>
      </c>
      <c r="C28" s="50">
        <v>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1</v>
      </c>
      <c r="N28" s="54">
        <v>0</v>
      </c>
      <c r="O28" s="58">
        <f>SUMPRODUCT(C28:N28,C20:N20)</f>
        <v>3</v>
      </c>
      <c r="P28" s="33" t="s">
        <v>43</v>
      </c>
      <c r="Q28" s="59">
        <f>+'PARTE A '!AL41</f>
        <v>300</v>
      </c>
    </row>
    <row r="29" spans="2:17" x14ac:dyDescent="0.25">
      <c r="B29" s="52" t="s">
        <v>37</v>
      </c>
      <c r="C29" s="50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54">
        <v>1</v>
      </c>
      <c r="O29" s="58">
        <f>SUMPRODUCT(C29:N29,C20:N20)</f>
        <v>3</v>
      </c>
      <c r="P29" s="33" t="s">
        <v>43</v>
      </c>
      <c r="Q29" s="59">
        <f>+'PARTE A '!AL42</f>
        <v>300</v>
      </c>
    </row>
    <row r="30" spans="2:17" ht="15.75" thickBot="1" x14ac:dyDescent="0.3">
      <c r="B30" s="53" t="s">
        <v>38</v>
      </c>
      <c r="C30" s="50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54">
        <v>1</v>
      </c>
      <c r="O30" s="60">
        <f>SUMPRODUCT(C30:N30,C20:N20)</f>
        <v>12</v>
      </c>
      <c r="P30" s="61" t="s">
        <v>39</v>
      </c>
      <c r="Q30" s="62">
        <v>2000</v>
      </c>
    </row>
  </sheetData>
  <mergeCells count="4">
    <mergeCell ref="C1:P1"/>
    <mergeCell ref="C18:P18"/>
    <mergeCell ref="M15:Q15"/>
    <mergeCell ref="R15:S15"/>
  </mergeCells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7EF3-6852-4ADF-8951-6DB65EC5AFFE}">
  <dimension ref="B1:S15"/>
  <sheetViews>
    <sheetView showGridLines="0" zoomScale="95" zoomScaleNormal="95" workbookViewId="0">
      <selection activeCell="R15" sqref="R15:S15"/>
    </sheetView>
  </sheetViews>
  <sheetFormatPr baseColWidth="10" defaultColWidth="9.140625" defaultRowHeight="15" x14ac:dyDescent="0.25"/>
  <cols>
    <col min="2" max="2" width="14.7109375" customWidth="1"/>
    <col min="3" max="3" width="5.7109375" customWidth="1"/>
    <col min="4" max="5" width="6.28515625" customWidth="1"/>
    <col min="6" max="6" width="5.5703125" customWidth="1"/>
    <col min="7" max="7" width="6.140625" customWidth="1"/>
    <col min="8" max="8" width="5.28515625" customWidth="1"/>
    <col min="9" max="10" width="6.42578125" customWidth="1"/>
    <col min="11" max="11" width="6.7109375" customWidth="1"/>
    <col min="12" max="12" width="6.42578125" customWidth="1"/>
    <col min="13" max="13" width="6.140625" customWidth="1"/>
    <col min="14" max="14" width="5.7109375" customWidth="1"/>
    <col min="15" max="15" width="6.28515625" customWidth="1"/>
    <col min="16" max="16" width="2.7109375" customWidth="1"/>
    <col min="17" max="17" width="5.28515625" customWidth="1"/>
    <col min="22" max="22" width="11.7109375" bestFit="1" customWidth="1"/>
    <col min="24" max="24" width="11.5703125" customWidth="1"/>
    <col min="25" max="25" width="9.85546875" customWidth="1"/>
    <col min="26" max="26" width="11.28515625" customWidth="1"/>
    <col min="28" max="28" width="11.28515625" customWidth="1"/>
    <col min="29" max="29" width="11.42578125" customWidth="1"/>
    <col min="30" max="30" width="11.140625" customWidth="1"/>
  </cols>
  <sheetData>
    <row r="1" spans="2:19" ht="15.75" thickBot="1" x14ac:dyDescent="0.3">
      <c r="C1" s="141" t="s">
        <v>42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3"/>
    </row>
    <row r="2" spans="2:19" ht="15.75" thickBot="1" x14ac:dyDescent="0.3">
      <c r="C2" s="63" t="s">
        <v>0</v>
      </c>
      <c r="D2" s="64" t="s">
        <v>1</v>
      </c>
      <c r="E2" s="64" t="s">
        <v>2</v>
      </c>
      <c r="F2" s="64" t="s">
        <v>3</v>
      </c>
      <c r="G2" s="64" t="s">
        <v>4</v>
      </c>
      <c r="H2" s="64" t="s">
        <v>5</v>
      </c>
      <c r="I2" s="64" t="s">
        <v>6</v>
      </c>
      <c r="J2" s="64" t="s">
        <v>7</v>
      </c>
      <c r="K2" s="64" t="s">
        <v>8</v>
      </c>
      <c r="L2" s="64" t="s">
        <v>9</v>
      </c>
      <c r="M2" s="64" t="s">
        <v>10</v>
      </c>
      <c r="N2" s="64" t="s">
        <v>11</v>
      </c>
      <c r="O2" s="69" t="s">
        <v>12</v>
      </c>
    </row>
    <row r="3" spans="2:19" ht="15.75" thickBot="1" x14ac:dyDescent="0.3">
      <c r="B3" s="48" t="s">
        <v>18</v>
      </c>
      <c r="C3" s="49">
        <v>550</v>
      </c>
      <c r="D3" s="49">
        <v>500</v>
      </c>
      <c r="E3" s="49">
        <v>50</v>
      </c>
      <c r="F3" s="49">
        <v>200</v>
      </c>
      <c r="G3" s="49">
        <v>200</v>
      </c>
      <c r="H3" s="49">
        <v>50</v>
      </c>
      <c r="I3" s="49">
        <v>100</v>
      </c>
      <c r="J3" s="49">
        <v>50</v>
      </c>
      <c r="K3" s="49">
        <v>50</v>
      </c>
      <c r="L3" s="49">
        <v>50</v>
      </c>
      <c r="M3" s="49">
        <v>150</v>
      </c>
      <c r="N3" s="49">
        <v>50</v>
      </c>
      <c r="O3" s="70">
        <f>SUMPRODUCT(C4:N4,C3:N3)</f>
        <v>11325</v>
      </c>
    </row>
    <row r="4" spans="2:19" ht="15.75" thickBot="1" x14ac:dyDescent="0.3">
      <c r="B4" s="48" t="s">
        <v>23</v>
      </c>
      <c r="C4" s="65">
        <v>4.75</v>
      </c>
      <c r="D4" s="65">
        <v>5.75</v>
      </c>
      <c r="E4" s="65">
        <v>6.25</v>
      </c>
      <c r="F4" s="65">
        <v>5</v>
      </c>
      <c r="G4" s="65">
        <v>5.25</v>
      </c>
      <c r="H4" s="65">
        <v>6.5</v>
      </c>
      <c r="I4" s="65">
        <v>6.5</v>
      </c>
      <c r="J4" s="65">
        <v>6.25</v>
      </c>
      <c r="K4" s="65">
        <v>6.5</v>
      </c>
      <c r="L4" s="65">
        <v>7.5</v>
      </c>
      <c r="M4" s="65">
        <v>7.5</v>
      </c>
      <c r="N4" s="66">
        <v>7.25</v>
      </c>
    </row>
    <row r="5" spans="2:19" x14ac:dyDescent="0.25">
      <c r="B5" s="51" t="s">
        <v>26</v>
      </c>
      <c r="O5" s="55" t="s">
        <v>27</v>
      </c>
      <c r="P5" s="56"/>
      <c r="Q5" s="57" t="s">
        <v>28</v>
      </c>
    </row>
    <row r="6" spans="2:19" x14ac:dyDescent="0.25">
      <c r="B6" s="52" t="s">
        <v>29</v>
      </c>
      <c r="C6" s="50">
        <v>1</v>
      </c>
      <c r="D6" s="1">
        <v>1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54">
        <v>0</v>
      </c>
      <c r="O6" s="58">
        <f>SUMPRODUCT(C6:N6,C3:N3)</f>
        <v>1300</v>
      </c>
      <c r="P6" s="33" t="s">
        <v>43</v>
      </c>
      <c r="Q6" s="59">
        <v>800</v>
      </c>
    </row>
    <row r="7" spans="2:19" ht="30" customHeight="1" x14ac:dyDescent="0.25">
      <c r="B7" s="52" t="s">
        <v>30</v>
      </c>
      <c r="C7" s="50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54">
        <v>0</v>
      </c>
      <c r="O7" s="58">
        <f>SUMPRODUCT(C7:N7,C3:N3)</f>
        <v>400</v>
      </c>
      <c r="P7" s="33" t="s">
        <v>43</v>
      </c>
      <c r="Q7" s="59">
        <v>400</v>
      </c>
    </row>
    <row r="8" spans="2:19" x14ac:dyDescent="0.25">
      <c r="B8" s="52" t="s">
        <v>32</v>
      </c>
      <c r="C8" s="50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1</v>
      </c>
      <c r="N8" s="54">
        <v>1</v>
      </c>
      <c r="O8" s="58">
        <f>SUMPRODUCT(C8:N8,C3:N3)</f>
        <v>300</v>
      </c>
      <c r="P8" s="33" t="s">
        <v>43</v>
      </c>
      <c r="Q8" s="59">
        <v>300</v>
      </c>
    </row>
    <row r="9" spans="2:19" x14ac:dyDescent="0.25">
      <c r="B9" s="52" t="s">
        <v>33</v>
      </c>
      <c r="C9" s="50">
        <v>1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54">
        <v>0</v>
      </c>
      <c r="O9" s="58">
        <f>SUMPRODUCT(C9:N9,C3:N3)</f>
        <v>800</v>
      </c>
      <c r="P9" s="33" t="s">
        <v>43</v>
      </c>
      <c r="Q9" s="59">
        <v>400</v>
      </c>
    </row>
    <row r="10" spans="2:19" x14ac:dyDescent="0.25">
      <c r="B10" s="52" t="s">
        <v>34</v>
      </c>
      <c r="C10" s="50">
        <v>0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54">
        <v>0</v>
      </c>
      <c r="O10" s="58">
        <f>SUMPRODUCT(C10:N10,C3:N3)</f>
        <v>600</v>
      </c>
      <c r="P10" s="33" t="s">
        <v>43</v>
      </c>
      <c r="Q10" s="59">
        <v>600</v>
      </c>
    </row>
    <row r="11" spans="2:19" x14ac:dyDescent="0.25">
      <c r="B11" s="52" t="s">
        <v>36</v>
      </c>
      <c r="C11" s="50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54">
        <v>0</v>
      </c>
      <c r="O11" s="58">
        <f>SUMPRODUCT(C11:N11,C3:N3)</f>
        <v>300</v>
      </c>
      <c r="P11" s="33" t="s">
        <v>43</v>
      </c>
      <c r="Q11" s="59">
        <v>300</v>
      </c>
    </row>
    <row r="12" spans="2:19" x14ac:dyDescent="0.25">
      <c r="B12" s="52" t="s">
        <v>37</v>
      </c>
      <c r="C12" s="50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54">
        <v>1</v>
      </c>
      <c r="O12" s="58">
        <f>SUMPRODUCT(C12:N12,C3:N3)</f>
        <v>300</v>
      </c>
      <c r="P12" s="33" t="s">
        <v>43</v>
      </c>
      <c r="Q12" s="59">
        <v>300</v>
      </c>
    </row>
    <row r="13" spans="2:19" ht="15.75" thickBot="1" x14ac:dyDescent="0.3">
      <c r="B13" s="53" t="s">
        <v>38</v>
      </c>
      <c r="C13" s="50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54">
        <v>1</v>
      </c>
      <c r="O13" s="60">
        <f>SUMPRODUCT(C13:N13,C3:N3)</f>
        <v>2000</v>
      </c>
      <c r="P13" s="61" t="s">
        <v>39</v>
      </c>
      <c r="Q13" s="62">
        <v>2000</v>
      </c>
    </row>
    <row r="14" spans="2:19" x14ac:dyDescent="0.25">
      <c r="B14" s="2"/>
      <c r="P14" s="30"/>
    </row>
    <row r="15" spans="2:19" x14ac:dyDescent="0.25">
      <c r="B15" s="2"/>
      <c r="M15" s="147" t="s">
        <v>72</v>
      </c>
      <c r="N15" s="148"/>
      <c r="O15" s="148"/>
      <c r="P15" s="148"/>
      <c r="Q15" s="149"/>
      <c r="R15" s="150">
        <f>+$O$3*1.15</f>
        <v>13023.749999999998</v>
      </c>
      <c r="S15" s="150"/>
    </row>
  </sheetData>
  <mergeCells count="3">
    <mergeCell ref="C1:P1"/>
    <mergeCell ref="M15:Q15"/>
    <mergeCell ref="R15:S15"/>
  </mergeCells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085C-54F8-44D9-9A4C-10772A311ED9}">
  <sheetPr codeName="Hoja5"/>
  <dimension ref="B1:Z28"/>
  <sheetViews>
    <sheetView showGridLines="0" zoomScale="95" zoomScaleNormal="95" workbookViewId="0">
      <selection activeCell="U9" sqref="U9"/>
    </sheetView>
  </sheetViews>
  <sheetFormatPr baseColWidth="10" defaultColWidth="9.140625" defaultRowHeight="15" x14ac:dyDescent="0.25"/>
  <cols>
    <col min="2" max="2" width="17.7109375" customWidth="1"/>
    <col min="3" max="3" width="5.7109375" customWidth="1"/>
    <col min="4" max="5" width="6.28515625" customWidth="1"/>
    <col min="6" max="6" width="5.5703125" customWidth="1"/>
    <col min="7" max="7" width="6.140625" customWidth="1"/>
    <col min="8" max="8" width="5.28515625" customWidth="1"/>
    <col min="9" max="10" width="6.42578125" customWidth="1"/>
    <col min="11" max="11" width="6.7109375" customWidth="1"/>
    <col min="12" max="12" width="6.42578125" customWidth="1"/>
    <col min="13" max="13" width="6.140625" customWidth="1"/>
    <col min="14" max="14" width="5.7109375" customWidth="1"/>
    <col min="15" max="15" width="6.28515625" customWidth="1"/>
    <col min="16" max="16" width="2.7109375" customWidth="1"/>
    <col min="17" max="17" width="5.28515625" customWidth="1"/>
    <col min="22" max="22" width="11.7109375" bestFit="1" customWidth="1"/>
    <col min="24" max="24" width="11.5703125" customWidth="1"/>
    <col min="25" max="25" width="9.85546875" customWidth="1"/>
    <col min="26" max="26" width="11.28515625" customWidth="1"/>
    <col min="28" max="28" width="11.28515625" customWidth="1"/>
    <col min="29" max="29" width="11.42578125" customWidth="1"/>
    <col min="30" max="30" width="11.140625" customWidth="1"/>
  </cols>
  <sheetData>
    <row r="1" spans="2:17" ht="15.75" thickBot="1" x14ac:dyDescent="0.3">
      <c r="C1" s="141" t="s">
        <v>42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3"/>
    </row>
    <row r="2" spans="2:17" ht="15.75" thickBot="1" x14ac:dyDescent="0.3">
      <c r="C2" s="63" t="s">
        <v>0</v>
      </c>
      <c r="D2" s="64" t="s">
        <v>1</v>
      </c>
      <c r="E2" s="64" t="s">
        <v>2</v>
      </c>
      <c r="F2" s="64" t="s">
        <v>3</v>
      </c>
      <c r="G2" s="64" t="s">
        <v>4</v>
      </c>
      <c r="H2" s="64" t="s">
        <v>5</v>
      </c>
      <c r="I2" s="64" t="s">
        <v>6</v>
      </c>
      <c r="J2" s="64" t="s">
        <v>7</v>
      </c>
      <c r="K2" s="64" t="s">
        <v>8</v>
      </c>
      <c r="L2" s="64" t="s">
        <v>9</v>
      </c>
      <c r="M2" s="64" t="s">
        <v>10</v>
      </c>
      <c r="N2" s="64" t="s">
        <v>11</v>
      </c>
      <c r="O2" s="69" t="s">
        <v>12</v>
      </c>
    </row>
    <row r="3" spans="2:17" ht="15.75" thickBot="1" x14ac:dyDescent="0.3">
      <c r="B3" s="48" t="s">
        <v>18</v>
      </c>
      <c r="C3" s="49">
        <v>50</v>
      </c>
      <c r="D3" s="49">
        <v>150</v>
      </c>
      <c r="E3" s="49">
        <v>50</v>
      </c>
      <c r="F3" s="49">
        <v>400</v>
      </c>
      <c r="G3" s="49">
        <v>500</v>
      </c>
      <c r="H3" s="49">
        <v>300</v>
      </c>
      <c r="I3" s="49">
        <v>200</v>
      </c>
      <c r="J3" s="49">
        <v>50</v>
      </c>
      <c r="K3" s="49">
        <v>50</v>
      </c>
      <c r="L3" s="49">
        <v>150</v>
      </c>
      <c r="M3" s="49">
        <v>50</v>
      </c>
      <c r="N3" s="49">
        <v>50</v>
      </c>
      <c r="O3" s="70">
        <f>SUMPRODUCT(C4:N4,C3:N3)</f>
        <v>11787.5</v>
      </c>
    </row>
    <row r="4" spans="2:17" ht="15.75" thickBot="1" x14ac:dyDescent="0.3">
      <c r="B4" s="48" t="s">
        <v>23</v>
      </c>
      <c r="C4" s="65">
        <v>4.75</v>
      </c>
      <c r="D4" s="65">
        <v>5.75</v>
      </c>
      <c r="E4" s="65">
        <v>6.25</v>
      </c>
      <c r="F4" s="65">
        <v>5</v>
      </c>
      <c r="G4" s="65">
        <v>5.25</v>
      </c>
      <c r="H4" s="65">
        <v>6.5</v>
      </c>
      <c r="I4" s="65">
        <v>6.5</v>
      </c>
      <c r="J4" s="65">
        <v>6.25</v>
      </c>
      <c r="K4" s="65">
        <v>6.5</v>
      </c>
      <c r="L4" s="65">
        <v>7.5</v>
      </c>
      <c r="M4" s="65">
        <v>7.5</v>
      </c>
      <c r="N4" s="66">
        <v>7.25</v>
      </c>
    </row>
    <row r="5" spans="2:17" x14ac:dyDescent="0.25">
      <c r="B5" s="51" t="s">
        <v>26</v>
      </c>
      <c r="O5" s="55" t="s">
        <v>27</v>
      </c>
      <c r="P5" s="71"/>
      <c r="Q5" s="57" t="s">
        <v>28</v>
      </c>
    </row>
    <row r="6" spans="2:17" x14ac:dyDescent="0.25">
      <c r="B6" s="99" t="s">
        <v>29</v>
      </c>
      <c r="C6" s="100">
        <v>1</v>
      </c>
      <c r="D6" s="101">
        <v>1</v>
      </c>
      <c r="E6" s="101">
        <v>1</v>
      </c>
      <c r="F6" s="101">
        <v>1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2">
        <v>0</v>
      </c>
      <c r="O6" s="103">
        <f>SUMPRODUCT(C6:N6,C3:N3)</f>
        <v>650</v>
      </c>
      <c r="P6" s="104" t="s">
        <v>43</v>
      </c>
      <c r="Q6" s="105">
        <v>800</v>
      </c>
    </row>
    <row r="7" spans="2:17" ht="30" customHeight="1" x14ac:dyDescent="0.25">
      <c r="B7" s="52" t="s">
        <v>30</v>
      </c>
      <c r="C7" s="50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54">
        <v>0</v>
      </c>
      <c r="O7" s="58">
        <f>SUMPRODUCT(C7:N7,C3:N3)</f>
        <v>1050</v>
      </c>
      <c r="P7" s="33" t="s">
        <v>43</v>
      </c>
      <c r="Q7" s="59">
        <v>400</v>
      </c>
    </row>
    <row r="8" spans="2:17" x14ac:dyDescent="0.25">
      <c r="B8" s="52" t="s">
        <v>32</v>
      </c>
      <c r="C8" s="50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1</v>
      </c>
      <c r="N8" s="54">
        <v>1</v>
      </c>
      <c r="O8" s="58">
        <f>SUMPRODUCT(C8:N8,C3:N3)</f>
        <v>300</v>
      </c>
      <c r="P8" s="33" t="s">
        <v>43</v>
      </c>
      <c r="Q8" s="59">
        <v>300</v>
      </c>
    </row>
    <row r="9" spans="2:17" x14ac:dyDescent="0.25">
      <c r="B9" s="106" t="s">
        <v>33</v>
      </c>
      <c r="C9" s="107">
        <v>1</v>
      </c>
      <c r="D9" s="94">
        <v>0</v>
      </c>
      <c r="E9" s="94">
        <v>0</v>
      </c>
      <c r="F9" s="94">
        <v>0</v>
      </c>
      <c r="G9" s="94">
        <v>1</v>
      </c>
      <c r="H9" s="94">
        <v>0</v>
      </c>
      <c r="I9" s="94">
        <v>0</v>
      </c>
      <c r="J9" s="94">
        <v>0</v>
      </c>
      <c r="K9" s="94">
        <v>1</v>
      </c>
      <c r="L9" s="94">
        <v>0</v>
      </c>
      <c r="M9" s="94">
        <v>0</v>
      </c>
      <c r="N9" s="108">
        <v>0</v>
      </c>
      <c r="O9" s="109">
        <f>SUMPRODUCT(C9:N9,C3:N3)</f>
        <v>600</v>
      </c>
      <c r="P9" s="110" t="s">
        <v>43</v>
      </c>
      <c r="Q9" s="111">
        <v>400</v>
      </c>
    </row>
    <row r="10" spans="2:17" x14ac:dyDescent="0.25">
      <c r="B10" s="52" t="s">
        <v>34</v>
      </c>
      <c r="C10" s="50">
        <v>0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54">
        <v>0</v>
      </c>
      <c r="O10" s="58">
        <f>SUMPRODUCT(C10:N10,C3:N3)</f>
        <v>600</v>
      </c>
      <c r="P10" s="33" t="s">
        <v>43</v>
      </c>
      <c r="Q10" s="59">
        <v>600</v>
      </c>
    </row>
    <row r="11" spans="2:17" x14ac:dyDescent="0.25">
      <c r="B11" s="52" t="s">
        <v>36</v>
      </c>
      <c r="C11" s="50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54">
        <v>0</v>
      </c>
      <c r="O11" s="58">
        <f>SUMPRODUCT(C11:N11,C3:N3)</f>
        <v>300</v>
      </c>
      <c r="P11" s="33" t="s">
        <v>43</v>
      </c>
      <c r="Q11" s="59">
        <v>300</v>
      </c>
    </row>
    <row r="12" spans="2:17" x14ac:dyDescent="0.25">
      <c r="B12" s="52" t="s">
        <v>37</v>
      </c>
      <c r="C12" s="50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54">
        <v>1</v>
      </c>
      <c r="O12" s="58">
        <f>SUMPRODUCT(C12:N12,C3:N3)</f>
        <v>500</v>
      </c>
      <c r="P12" s="33" t="s">
        <v>43</v>
      </c>
      <c r="Q12" s="59">
        <v>300</v>
      </c>
    </row>
    <row r="13" spans="2:17" ht="15.75" thickBot="1" x14ac:dyDescent="0.3">
      <c r="B13" s="53" t="s">
        <v>38</v>
      </c>
      <c r="C13" s="50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54">
        <v>1</v>
      </c>
      <c r="O13" s="58">
        <f>SUMPRODUCT(C13:N13,$C$3:$N$3)</f>
        <v>2000</v>
      </c>
      <c r="P13" s="33" t="s">
        <v>39</v>
      </c>
      <c r="Q13" s="59">
        <v>2000</v>
      </c>
    </row>
    <row r="14" spans="2:17" x14ac:dyDescent="0.25">
      <c r="B14" s="106" t="s">
        <v>58</v>
      </c>
      <c r="C14" s="107">
        <v>1</v>
      </c>
      <c r="D14" s="94">
        <v>0</v>
      </c>
      <c r="E14" s="94">
        <v>0</v>
      </c>
      <c r="F14" s="94">
        <v>0</v>
      </c>
      <c r="G14" s="94">
        <v>1</v>
      </c>
      <c r="H14" s="94">
        <v>0</v>
      </c>
      <c r="I14" s="94">
        <v>0</v>
      </c>
      <c r="J14" s="94">
        <v>0</v>
      </c>
      <c r="K14" s="94">
        <v>1</v>
      </c>
      <c r="L14" s="94">
        <v>0</v>
      </c>
      <c r="M14" s="94">
        <v>0</v>
      </c>
      <c r="N14" s="108">
        <v>0</v>
      </c>
      <c r="O14" s="109">
        <f t="shared" ref="O14:O15" si="0">SUMPRODUCT(C14:N14,$C$3:$N$3)</f>
        <v>600</v>
      </c>
      <c r="P14" s="110" t="s">
        <v>60</v>
      </c>
      <c r="Q14" s="111">
        <v>600</v>
      </c>
    </row>
    <row r="15" spans="2:17" ht="15.75" thickBot="1" x14ac:dyDescent="0.3">
      <c r="B15" s="72" t="s">
        <v>59</v>
      </c>
      <c r="C15" s="73">
        <v>1</v>
      </c>
      <c r="D15" s="74">
        <v>1</v>
      </c>
      <c r="E15" s="74">
        <v>1</v>
      </c>
      <c r="F15" s="74">
        <v>1</v>
      </c>
      <c r="G15" s="74">
        <v>0</v>
      </c>
      <c r="H15" s="74">
        <v>0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5">
        <v>0</v>
      </c>
      <c r="O15" s="77">
        <f t="shared" si="0"/>
        <v>650</v>
      </c>
      <c r="P15" s="78" t="s">
        <v>60</v>
      </c>
      <c r="Q15" s="79">
        <v>650</v>
      </c>
    </row>
    <row r="17" spans="12:26" ht="15.75" customHeight="1" x14ac:dyDescent="0.25">
      <c r="L17" s="147" t="s">
        <v>72</v>
      </c>
      <c r="M17" s="148"/>
      <c r="N17" s="148"/>
      <c r="O17" s="148"/>
      <c r="P17" s="149"/>
      <c r="Q17" s="150">
        <f>+$O$3*1.15</f>
        <v>13555.624999999998</v>
      </c>
      <c r="R17" s="150"/>
    </row>
    <row r="20" spans="12:26" x14ac:dyDescent="0.25">
      <c r="W20" s="5" t="s">
        <v>26</v>
      </c>
      <c r="X20" s="44" t="s">
        <v>27</v>
      </c>
    </row>
    <row r="21" spans="12:26" x14ac:dyDescent="0.25">
      <c r="W21" s="5" t="s">
        <v>29</v>
      </c>
      <c r="X21" s="45">
        <v>4</v>
      </c>
      <c r="Y21" s="8" t="s">
        <v>24</v>
      </c>
      <c r="Z21" s="7">
        <f>+Q6</f>
        <v>800</v>
      </c>
    </row>
    <row r="22" spans="12:26" x14ac:dyDescent="0.25">
      <c r="W22" s="5" t="s">
        <v>30</v>
      </c>
      <c r="X22" s="45">
        <v>4</v>
      </c>
      <c r="Y22" s="8" t="s">
        <v>24</v>
      </c>
      <c r="Z22" s="7">
        <f t="shared" ref="Z22:Z28" si="1">+Q7</f>
        <v>400</v>
      </c>
    </row>
    <row r="23" spans="12:26" x14ac:dyDescent="0.25">
      <c r="W23" s="5" t="s">
        <v>32</v>
      </c>
      <c r="X23" s="45">
        <v>4</v>
      </c>
      <c r="Y23" s="8" t="s">
        <v>24</v>
      </c>
      <c r="Z23" s="7">
        <f t="shared" si="1"/>
        <v>300</v>
      </c>
    </row>
    <row r="24" spans="12:26" x14ac:dyDescent="0.25">
      <c r="W24" s="5" t="s">
        <v>33</v>
      </c>
      <c r="X24" s="45">
        <v>3</v>
      </c>
      <c r="Y24" s="8" t="s">
        <v>24</v>
      </c>
      <c r="Z24" s="7">
        <f t="shared" si="1"/>
        <v>400</v>
      </c>
    </row>
    <row r="25" spans="12:26" x14ac:dyDescent="0.25">
      <c r="W25" s="5" t="s">
        <v>34</v>
      </c>
      <c r="X25" s="45">
        <v>3</v>
      </c>
      <c r="Y25" s="8" t="s">
        <v>24</v>
      </c>
      <c r="Z25" s="7">
        <f t="shared" si="1"/>
        <v>600</v>
      </c>
    </row>
    <row r="26" spans="12:26" x14ac:dyDescent="0.25">
      <c r="W26" s="5" t="s">
        <v>36</v>
      </c>
      <c r="X26" s="45">
        <v>3</v>
      </c>
      <c r="Y26" s="8" t="s">
        <v>24</v>
      </c>
      <c r="Z26" s="7">
        <f t="shared" si="1"/>
        <v>300</v>
      </c>
    </row>
    <row r="27" spans="12:26" x14ac:dyDescent="0.25">
      <c r="W27" s="5" t="s">
        <v>37</v>
      </c>
      <c r="X27" s="45">
        <v>3</v>
      </c>
      <c r="Y27" s="8" t="s">
        <v>24</v>
      </c>
      <c r="Z27" s="7">
        <f t="shared" si="1"/>
        <v>300</v>
      </c>
    </row>
    <row r="28" spans="12:26" x14ac:dyDescent="0.25">
      <c r="W28" s="5" t="s">
        <v>38</v>
      </c>
      <c r="X28" s="45">
        <v>12</v>
      </c>
      <c r="Y28" s="8" t="s">
        <v>39</v>
      </c>
      <c r="Z28" s="7">
        <f t="shared" si="1"/>
        <v>2000</v>
      </c>
    </row>
  </sheetData>
  <mergeCells count="3">
    <mergeCell ref="C1:P1"/>
    <mergeCell ref="L17:P17"/>
    <mergeCell ref="Q17:R17"/>
  </mergeCells>
  <pageMargins left="0.7" right="0.7" top="0.75" bottom="0.75" header="0.3" footer="0.3"/>
  <pageSetup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0C3B-B432-456A-A5C1-B626D2D09597}">
  <dimension ref="B1:AA30"/>
  <sheetViews>
    <sheetView showGridLines="0" zoomScale="95" zoomScaleNormal="95" workbookViewId="0">
      <selection activeCell="L26" sqref="L26"/>
    </sheetView>
  </sheetViews>
  <sheetFormatPr baseColWidth="10" defaultColWidth="9.140625" defaultRowHeight="15" x14ac:dyDescent="0.25"/>
  <cols>
    <col min="2" max="2" width="17.7109375" customWidth="1"/>
    <col min="3" max="3" width="5.7109375" customWidth="1"/>
    <col min="4" max="5" width="6.28515625" customWidth="1"/>
    <col min="6" max="6" width="5.5703125" customWidth="1"/>
    <col min="7" max="7" width="6.140625" customWidth="1"/>
    <col min="8" max="8" width="5.28515625" customWidth="1"/>
    <col min="9" max="10" width="6.42578125" customWidth="1"/>
    <col min="11" max="11" width="6.7109375" customWidth="1"/>
    <col min="12" max="12" width="6.42578125" customWidth="1"/>
    <col min="13" max="13" width="6.140625" customWidth="1"/>
    <col min="14" max="14" width="5.7109375" customWidth="1"/>
    <col min="15" max="15" width="6.28515625" customWidth="1"/>
    <col min="16" max="16" width="2.7109375" customWidth="1"/>
    <col min="17" max="17" width="5.28515625" customWidth="1"/>
    <col min="22" max="22" width="11.7109375" bestFit="1" customWidth="1"/>
    <col min="24" max="24" width="11.5703125" customWidth="1"/>
    <col min="25" max="25" width="9.85546875" customWidth="1"/>
    <col min="26" max="26" width="11.28515625" customWidth="1"/>
    <col min="28" max="28" width="11.28515625" customWidth="1"/>
    <col min="29" max="29" width="11.42578125" customWidth="1"/>
    <col min="30" max="30" width="11.140625" customWidth="1"/>
  </cols>
  <sheetData>
    <row r="1" spans="2:27" ht="15.75" thickBot="1" x14ac:dyDescent="0.3">
      <c r="C1" s="141" t="s">
        <v>42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3"/>
    </row>
    <row r="2" spans="2:27" ht="15.75" thickBot="1" x14ac:dyDescent="0.3">
      <c r="C2" s="63" t="s">
        <v>0</v>
      </c>
      <c r="D2" s="64" t="s">
        <v>1</v>
      </c>
      <c r="E2" s="64" t="s">
        <v>2</v>
      </c>
      <c r="F2" s="64" t="s">
        <v>3</v>
      </c>
      <c r="G2" s="64" t="s">
        <v>4</v>
      </c>
      <c r="H2" s="64" t="s">
        <v>5</v>
      </c>
      <c r="I2" s="64" t="s">
        <v>6</v>
      </c>
      <c r="J2" s="64" t="s">
        <v>7</v>
      </c>
      <c r="K2" s="64" t="s">
        <v>8</v>
      </c>
      <c r="L2" s="64" t="s">
        <v>9</v>
      </c>
      <c r="M2" s="64" t="s">
        <v>10</v>
      </c>
      <c r="N2" s="64" t="s">
        <v>11</v>
      </c>
      <c r="O2" s="69" t="s">
        <v>12</v>
      </c>
    </row>
    <row r="3" spans="2:27" ht="15.75" thickBot="1" x14ac:dyDescent="0.3">
      <c r="B3" s="48" t="s">
        <v>18</v>
      </c>
      <c r="C3" s="49">
        <v>50</v>
      </c>
      <c r="D3" s="49">
        <v>50</v>
      </c>
      <c r="E3" s="49">
        <v>50</v>
      </c>
      <c r="F3" s="49">
        <v>500</v>
      </c>
      <c r="G3" s="49">
        <v>200</v>
      </c>
      <c r="H3" s="49">
        <v>500</v>
      </c>
      <c r="I3" s="49">
        <v>200</v>
      </c>
      <c r="J3" s="49">
        <v>150</v>
      </c>
      <c r="K3" s="49">
        <v>150</v>
      </c>
      <c r="L3" s="49">
        <v>50</v>
      </c>
      <c r="M3" s="49">
        <v>50</v>
      </c>
      <c r="N3" s="49">
        <v>50</v>
      </c>
      <c r="O3" s="70">
        <f>SUMPRODUCT(C4:N4,C3:N3)</f>
        <v>12425</v>
      </c>
    </row>
    <row r="4" spans="2:27" ht="15.75" thickBot="1" x14ac:dyDescent="0.3">
      <c r="B4" s="48" t="s">
        <v>23</v>
      </c>
      <c r="C4" s="97">
        <v>6.5</v>
      </c>
      <c r="D4" s="65">
        <v>5.75</v>
      </c>
      <c r="E4" s="65">
        <v>6.25</v>
      </c>
      <c r="F4" s="65">
        <v>5</v>
      </c>
      <c r="G4" s="97">
        <v>6.75</v>
      </c>
      <c r="H4" s="65">
        <v>6.5</v>
      </c>
      <c r="I4" s="65">
        <v>6.5</v>
      </c>
      <c r="J4" s="65">
        <v>6.25</v>
      </c>
      <c r="K4" s="97">
        <v>7</v>
      </c>
      <c r="L4" s="65">
        <v>7.5</v>
      </c>
      <c r="M4" s="65">
        <v>7.5</v>
      </c>
      <c r="N4" s="66">
        <v>7.25</v>
      </c>
    </row>
    <row r="5" spans="2:27" x14ac:dyDescent="0.25">
      <c r="B5" s="51" t="s">
        <v>26</v>
      </c>
      <c r="O5" s="55" t="s">
        <v>27</v>
      </c>
      <c r="P5" s="71"/>
      <c r="Q5" s="57" t="s">
        <v>28</v>
      </c>
    </row>
    <row r="6" spans="2:27" x14ac:dyDescent="0.25">
      <c r="B6" s="99" t="s">
        <v>29</v>
      </c>
      <c r="C6" s="100">
        <v>1</v>
      </c>
      <c r="D6" s="101">
        <v>1</v>
      </c>
      <c r="E6" s="101">
        <v>1</v>
      </c>
      <c r="F6" s="101">
        <v>1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2">
        <v>0</v>
      </c>
      <c r="O6" s="103">
        <f>SUMPRODUCT(C6:N6,C3:N3)</f>
        <v>650</v>
      </c>
      <c r="P6" s="104" t="s">
        <v>43</v>
      </c>
      <c r="Q6" s="105">
        <v>600</v>
      </c>
    </row>
    <row r="7" spans="2:27" ht="30" customHeight="1" x14ac:dyDescent="0.25">
      <c r="B7" s="52" t="s">
        <v>30</v>
      </c>
      <c r="C7" s="50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54">
        <v>0</v>
      </c>
      <c r="O7" s="58">
        <f>SUMPRODUCT(C7:N7,C3:N3)</f>
        <v>1050</v>
      </c>
      <c r="P7" s="33" t="s">
        <v>43</v>
      </c>
      <c r="Q7" s="59">
        <v>400</v>
      </c>
      <c r="W7" s="115" t="s">
        <v>17</v>
      </c>
      <c r="X7" s="116"/>
      <c r="Y7" s="116"/>
      <c r="Z7" s="116"/>
      <c r="AA7" s="116"/>
    </row>
    <row r="8" spans="2:27" x14ac:dyDescent="0.25">
      <c r="B8" s="52" t="s">
        <v>32</v>
      </c>
      <c r="C8" s="50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1</v>
      </c>
      <c r="N8" s="54">
        <v>1</v>
      </c>
      <c r="O8" s="58">
        <f>SUMPRODUCT(C8:N8,C3:N3)</f>
        <v>300</v>
      </c>
      <c r="P8" s="33" t="s">
        <v>43</v>
      </c>
      <c r="Q8" s="59">
        <v>300</v>
      </c>
      <c r="W8" s="117" t="s">
        <v>19</v>
      </c>
      <c r="X8" s="119" t="s">
        <v>20</v>
      </c>
      <c r="Y8" s="120"/>
      <c r="Z8" s="120"/>
      <c r="AA8" s="121"/>
    </row>
    <row r="9" spans="2:27" x14ac:dyDescent="0.25">
      <c r="B9" s="106" t="s">
        <v>33</v>
      </c>
      <c r="C9" s="107">
        <v>1</v>
      </c>
      <c r="D9" s="94">
        <v>0</v>
      </c>
      <c r="E9" s="94">
        <v>0</v>
      </c>
      <c r="F9" s="94">
        <v>0</v>
      </c>
      <c r="G9" s="94">
        <v>1</v>
      </c>
      <c r="H9" s="94">
        <v>0</v>
      </c>
      <c r="I9" s="94">
        <v>0</v>
      </c>
      <c r="J9" s="94">
        <v>0</v>
      </c>
      <c r="K9" s="94">
        <v>1</v>
      </c>
      <c r="L9" s="94">
        <v>0</v>
      </c>
      <c r="M9" s="94">
        <v>0</v>
      </c>
      <c r="N9" s="108">
        <v>0</v>
      </c>
      <c r="O9" s="109">
        <f>SUMPRODUCT(C9:N9,C3:N3)</f>
        <v>400</v>
      </c>
      <c r="P9" s="110" t="s">
        <v>43</v>
      </c>
      <c r="Q9" s="111">
        <v>400</v>
      </c>
      <c r="W9" s="118"/>
      <c r="X9" s="19" t="s">
        <v>48</v>
      </c>
      <c r="Y9" s="19" t="s">
        <v>49</v>
      </c>
      <c r="Z9" s="19" t="s">
        <v>50</v>
      </c>
      <c r="AA9" s="19" t="s">
        <v>54</v>
      </c>
    </row>
    <row r="10" spans="2:27" x14ac:dyDescent="0.25">
      <c r="B10" s="52" t="s">
        <v>34</v>
      </c>
      <c r="C10" s="50">
        <v>0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54">
        <v>0</v>
      </c>
      <c r="O10" s="58">
        <f>SUMPRODUCT(C10:N10,C3:N3)</f>
        <v>600</v>
      </c>
      <c r="P10" s="33" t="s">
        <v>43</v>
      </c>
      <c r="Q10" s="59">
        <v>600</v>
      </c>
      <c r="W10" s="20" t="s">
        <v>45</v>
      </c>
      <c r="X10" s="98">
        <v>6.5</v>
      </c>
      <c r="Y10" s="21">
        <v>5.75</v>
      </c>
      <c r="Z10" s="21">
        <v>6.25</v>
      </c>
      <c r="AA10" s="21">
        <v>5</v>
      </c>
    </row>
    <row r="11" spans="2:27" x14ac:dyDescent="0.25">
      <c r="B11" s="52" t="s">
        <v>36</v>
      </c>
      <c r="C11" s="50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54">
        <v>0</v>
      </c>
      <c r="O11" s="58">
        <f>SUMPRODUCT(C11:N11,C3:N3)</f>
        <v>300</v>
      </c>
      <c r="P11" s="33" t="s">
        <v>43</v>
      </c>
      <c r="Q11" s="59">
        <v>300</v>
      </c>
      <c r="W11" s="20" t="s">
        <v>46</v>
      </c>
      <c r="X11" s="98">
        <v>6.75</v>
      </c>
      <c r="Y11" s="21">
        <v>6.5</v>
      </c>
      <c r="Z11" s="21">
        <v>6.5</v>
      </c>
      <c r="AA11" s="21">
        <v>6.25</v>
      </c>
    </row>
    <row r="12" spans="2:27" x14ac:dyDescent="0.25">
      <c r="B12" s="52" t="s">
        <v>37</v>
      </c>
      <c r="C12" s="50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54">
        <v>1</v>
      </c>
      <c r="O12" s="58">
        <f>SUMPRODUCT(C12:N12,C3:N3)</f>
        <v>700</v>
      </c>
      <c r="P12" s="33" t="s">
        <v>43</v>
      </c>
      <c r="Q12" s="59">
        <v>300</v>
      </c>
      <c r="W12" s="20" t="s">
        <v>47</v>
      </c>
      <c r="X12" s="98">
        <v>7</v>
      </c>
      <c r="Y12" s="21">
        <v>7.5</v>
      </c>
      <c r="Z12" s="21">
        <v>7.5</v>
      </c>
      <c r="AA12" s="21">
        <v>7.25</v>
      </c>
    </row>
    <row r="13" spans="2:27" ht="15.75" thickBot="1" x14ac:dyDescent="0.3">
      <c r="B13" s="53" t="s">
        <v>38</v>
      </c>
      <c r="C13" s="50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54">
        <v>1</v>
      </c>
      <c r="O13" s="58">
        <f>SUMPRODUCT(C13:N13,$C$3:$N$3)</f>
        <v>2000</v>
      </c>
      <c r="P13" s="33" t="s">
        <v>39</v>
      </c>
      <c r="Q13" s="59">
        <v>2000</v>
      </c>
    </row>
    <row r="14" spans="2:27" x14ac:dyDescent="0.25">
      <c r="B14" s="106" t="s">
        <v>58</v>
      </c>
      <c r="C14" s="107">
        <v>1</v>
      </c>
      <c r="D14" s="94">
        <v>0</v>
      </c>
      <c r="E14" s="94">
        <v>0</v>
      </c>
      <c r="F14" s="94">
        <v>0</v>
      </c>
      <c r="G14" s="94">
        <v>1</v>
      </c>
      <c r="H14" s="94">
        <v>0</v>
      </c>
      <c r="I14" s="94">
        <v>0</v>
      </c>
      <c r="J14" s="94">
        <v>0</v>
      </c>
      <c r="K14" s="94">
        <v>1</v>
      </c>
      <c r="L14" s="94">
        <v>0</v>
      </c>
      <c r="M14" s="94">
        <v>0</v>
      </c>
      <c r="N14" s="108">
        <v>0</v>
      </c>
      <c r="O14" s="109">
        <f t="shared" ref="O14:O15" si="0">SUMPRODUCT(C14:N14,$C$3:$N$3)</f>
        <v>400</v>
      </c>
      <c r="P14" s="110" t="s">
        <v>60</v>
      </c>
      <c r="Q14" s="111">
        <v>600</v>
      </c>
      <c r="X14" s="46"/>
    </row>
    <row r="15" spans="2:27" ht="15.75" thickBot="1" x14ac:dyDescent="0.3">
      <c r="B15" s="72" t="s">
        <v>59</v>
      </c>
      <c r="C15" s="73">
        <v>1</v>
      </c>
      <c r="D15" s="74">
        <v>1</v>
      </c>
      <c r="E15" s="74">
        <v>1</v>
      </c>
      <c r="F15" s="74">
        <v>1</v>
      </c>
      <c r="G15" s="74">
        <v>0</v>
      </c>
      <c r="H15" s="74">
        <v>0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5">
        <v>0</v>
      </c>
      <c r="O15" s="77">
        <f t="shared" si="0"/>
        <v>650</v>
      </c>
      <c r="P15" s="78" t="s">
        <v>60</v>
      </c>
      <c r="Q15" s="79">
        <v>650</v>
      </c>
    </row>
    <row r="16" spans="2:27" x14ac:dyDescent="0.25">
      <c r="X16" s="46"/>
    </row>
    <row r="17" spans="12:26" ht="15.75" customHeight="1" x14ac:dyDescent="0.25">
      <c r="L17" s="147" t="s">
        <v>72</v>
      </c>
      <c r="M17" s="148"/>
      <c r="N17" s="148"/>
      <c r="O17" s="148"/>
      <c r="P17" s="149"/>
      <c r="Q17" s="150">
        <f>+$O$3*1.15</f>
        <v>14288.749999999998</v>
      </c>
      <c r="R17" s="150"/>
    </row>
    <row r="20" spans="12:26" x14ac:dyDescent="0.25">
      <c r="W20" s="5" t="s">
        <v>26</v>
      </c>
      <c r="X20" s="44" t="s">
        <v>27</v>
      </c>
    </row>
    <row r="21" spans="12:26" x14ac:dyDescent="0.25">
      <c r="W21" s="5" t="s">
        <v>29</v>
      </c>
      <c r="X21" s="45">
        <v>4</v>
      </c>
      <c r="Y21" s="8" t="s">
        <v>24</v>
      </c>
      <c r="Z21" s="7">
        <f>+Q6</f>
        <v>600</v>
      </c>
    </row>
    <row r="22" spans="12:26" x14ac:dyDescent="0.25">
      <c r="W22" s="5" t="s">
        <v>30</v>
      </c>
      <c r="X22" s="45">
        <v>4</v>
      </c>
      <c r="Y22" s="8" t="s">
        <v>24</v>
      </c>
      <c r="Z22" s="7">
        <f t="shared" ref="Z22:Z30" si="1">+Q7</f>
        <v>400</v>
      </c>
    </row>
    <row r="23" spans="12:26" x14ac:dyDescent="0.25">
      <c r="W23" s="5" t="s">
        <v>32</v>
      </c>
      <c r="X23" s="45">
        <v>4</v>
      </c>
      <c r="Y23" s="8" t="s">
        <v>24</v>
      </c>
      <c r="Z23" s="7">
        <f t="shared" si="1"/>
        <v>300</v>
      </c>
    </row>
    <row r="24" spans="12:26" x14ac:dyDescent="0.25">
      <c r="W24" s="5" t="s">
        <v>33</v>
      </c>
      <c r="X24" s="45">
        <v>3</v>
      </c>
      <c r="Y24" s="8" t="s">
        <v>24</v>
      </c>
      <c r="Z24" s="7">
        <f t="shared" si="1"/>
        <v>400</v>
      </c>
    </row>
    <row r="25" spans="12:26" x14ac:dyDescent="0.25">
      <c r="W25" s="5" t="s">
        <v>34</v>
      </c>
      <c r="X25" s="45">
        <v>3</v>
      </c>
      <c r="Y25" s="8" t="s">
        <v>24</v>
      </c>
      <c r="Z25" s="7">
        <f t="shared" si="1"/>
        <v>600</v>
      </c>
    </row>
    <row r="26" spans="12:26" x14ac:dyDescent="0.25">
      <c r="W26" s="5" t="s">
        <v>36</v>
      </c>
      <c r="X26" s="45">
        <v>3</v>
      </c>
      <c r="Y26" s="8" t="s">
        <v>24</v>
      </c>
      <c r="Z26" s="7">
        <f t="shared" si="1"/>
        <v>300</v>
      </c>
    </row>
    <row r="27" spans="12:26" x14ac:dyDescent="0.25">
      <c r="W27" s="5" t="s">
        <v>37</v>
      </c>
      <c r="X27" s="45">
        <v>3</v>
      </c>
      <c r="Y27" s="8" t="s">
        <v>24</v>
      </c>
      <c r="Z27" s="7">
        <f t="shared" si="1"/>
        <v>300</v>
      </c>
    </row>
    <row r="28" spans="12:26" x14ac:dyDescent="0.25">
      <c r="W28" s="5" t="s">
        <v>38</v>
      </c>
      <c r="X28" s="45">
        <v>12</v>
      </c>
      <c r="Y28" s="8" t="s">
        <v>39</v>
      </c>
      <c r="Z28" s="7">
        <f t="shared" si="1"/>
        <v>2000</v>
      </c>
    </row>
    <row r="29" spans="12:26" x14ac:dyDescent="0.25">
      <c r="V29" s="151" t="s">
        <v>58</v>
      </c>
      <c r="W29" s="152"/>
      <c r="X29" s="112">
        <v>3</v>
      </c>
      <c r="Y29" s="76" t="s">
        <v>60</v>
      </c>
      <c r="Z29" s="74">
        <f>+Q14</f>
        <v>600</v>
      </c>
    </row>
    <row r="30" spans="12:26" x14ac:dyDescent="0.25">
      <c r="V30" s="153" t="s">
        <v>59</v>
      </c>
      <c r="W30" s="154"/>
      <c r="X30" s="112">
        <v>4</v>
      </c>
      <c r="Y30" s="76" t="s">
        <v>60</v>
      </c>
      <c r="Z30" s="74">
        <f t="shared" si="1"/>
        <v>650</v>
      </c>
    </row>
  </sheetData>
  <mergeCells count="8">
    <mergeCell ref="V29:W29"/>
    <mergeCell ref="V30:W30"/>
    <mergeCell ref="C1:P1"/>
    <mergeCell ref="L17:P17"/>
    <mergeCell ref="Q17:R17"/>
    <mergeCell ref="W7:AA7"/>
    <mergeCell ref="W8:W9"/>
    <mergeCell ref="X8:AA8"/>
  </mergeCells>
  <pageMargins left="0.7" right="0.7" top="0.75" bottom="0.75" header="0.3" footer="0.3"/>
  <pageSetup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FA1F-92B4-4B18-83B5-D9B39BE96D33}">
  <dimension ref="B1:AE31"/>
  <sheetViews>
    <sheetView showGridLines="0" zoomScale="95" zoomScaleNormal="95" workbookViewId="0">
      <selection activeCell="R21" sqref="R21"/>
    </sheetView>
  </sheetViews>
  <sheetFormatPr baseColWidth="10" defaultColWidth="9.140625" defaultRowHeight="15" x14ac:dyDescent="0.25"/>
  <cols>
    <col min="2" max="2" width="17.7109375" customWidth="1"/>
    <col min="3" max="3" width="5.7109375" customWidth="1"/>
    <col min="4" max="5" width="6.28515625" customWidth="1"/>
    <col min="6" max="6" width="5.5703125" customWidth="1"/>
    <col min="7" max="7" width="6.140625" customWidth="1"/>
    <col min="8" max="8" width="5.28515625" customWidth="1"/>
    <col min="9" max="10" width="6.42578125" customWidth="1"/>
    <col min="11" max="11" width="6.7109375" customWidth="1"/>
    <col min="12" max="12" width="6.42578125" customWidth="1"/>
    <col min="13" max="13" width="6.140625" customWidth="1"/>
    <col min="14" max="14" width="5.7109375" customWidth="1"/>
    <col min="15" max="15" width="6.28515625" customWidth="1"/>
    <col min="16" max="16" width="2.7109375" customWidth="1"/>
    <col min="17" max="17" width="5.28515625" customWidth="1"/>
    <col min="22" max="22" width="11.7109375" bestFit="1" customWidth="1"/>
    <col min="24" max="24" width="11.5703125" customWidth="1"/>
    <col min="25" max="25" width="9.85546875" customWidth="1"/>
    <col min="26" max="26" width="11.28515625" customWidth="1"/>
    <col min="28" max="28" width="37.7109375" customWidth="1"/>
    <col min="29" max="29" width="11.42578125" customWidth="1"/>
    <col min="30" max="30" width="11.140625" customWidth="1"/>
  </cols>
  <sheetData>
    <row r="1" spans="2:27" ht="15.75" thickBot="1" x14ac:dyDescent="0.3">
      <c r="C1" s="141" t="s">
        <v>42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3"/>
    </row>
    <row r="2" spans="2:27" ht="15.75" thickBot="1" x14ac:dyDescent="0.3">
      <c r="C2" s="63" t="s">
        <v>0</v>
      </c>
      <c r="D2" s="64" t="s">
        <v>1</v>
      </c>
      <c r="E2" s="64" t="s">
        <v>2</v>
      </c>
      <c r="F2" s="64" t="s">
        <v>3</v>
      </c>
      <c r="G2" s="64" t="s">
        <v>4</v>
      </c>
      <c r="H2" s="64" t="s">
        <v>5</v>
      </c>
      <c r="I2" s="64" t="s">
        <v>6</v>
      </c>
      <c r="J2" s="64" t="s">
        <v>7</v>
      </c>
      <c r="K2" s="64" t="s">
        <v>8</v>
      </c>
      <c r="L2" s="64" t="s">
        <v>9</v>
      </c>
      <c r="M2" s="64" t="s">
        <v>10</v>
      </c>
      <c r="N2" s="64" t="s">
        <v>11</v>
      </c>
      <c r="O2" s="69" t="s">
        <v>12</v>
      </c>
    </row>
    <row r="3" spans="2:27" ht="15.75" thickBot="1" x14ac:dyDescent="0.3">
      <c r="B3" s="48" t="s">
        <v>18</v>
      </c>
      <c r="C3" s="49">
        <v>50</v>
      </c>
      <c r="D3" s="49">
        <v>250</v>
      </c>
      <c r="E3" s="49">
        <v>50</v>
      </c>
      <c r="F3" s="49">
        <v>50</v>
      </c>
      <c r="G3" s="49">
        <v>400</v>
      </c>
      <c r="H3" s="49">
        <v>200</v>
      </c>
      <c r="I3" s="49">
        <v>100</v>
      </c>
      <c r="J3" s="49">
        <v>300</v>
      </c>
      <c r="K3" s="49">
        <v>50</v>
      </c>
      <c r="L3" s="49">
        <v>250</v>
      </c>
      <c r="M3" s="49">
        <v>250</v>
      </c>
      <c r="N3" s="49">
        <v>50</v>
      </c>
      <c r="O3" s="70">
        <f>SUMPRODUCT(C4:N4,C3:N3)</f>
        <v>13312.5</v>
      </c>
    </row>
    <row r="4" spans="2:27" ht="15.75" thickBot="1" x14ac:dyDescent="0.3">
      <c r="B4" s="48" t="s">
        <v>23</v>
      </c>
      <c r="C4" s="97">
        <v>6.5</v>
      </c>
      <c r="D4" s="65">
        <v>5.75</v>
      </c>
      <c r="E4" s="65">
        <v>6.25</v>
      </c>
      <c r="F4" s="65">
        <v>5</v>
      </c>
      <c r="G4" s="97">
        <v>6.75</v>
      </c>
      <c r="H4" s="65">
        <v>6.5</v>
      </c>
      <c r="I4" s="65">
        <v>6.5</v>
      </c>
      <c r="J4" s="65">
        <v>6.25</v>
      </c>
      <c r="K4" s="97">
        <v>7</v>
      </c>
      <c r="L4" s="65">
        <v>7.5</v>
      </c>
      <c r="M4" s="65">
        <v>7.5</v>
      </c>
      <c r="N4" s="66">
        <v>7.25</v>
      </c>
    </row>
    <row r="5" spans="2:27" x14ac:dyDescent="0.25">
      <c r="B5" s="51" t="s">
        <v>26</v>
      </c>
      <c r="O5" s="55" t="s">
        <v>27</v>
      </c>
      <c r="P5" s="71"/>
      <c r="Q5" s="57" t="s">
        <v>28</v>
      </c>
    </row>
    <row r="6" spans="2:27" x14ac:dyDescent="0.25">
      <c r="B6" s="99" t="s">
        <v>29</v>
      </c>
      <c r="C6" s="100">
        <v>1</v>
      </c>
      <c r="D6" s="101">
        <v>1</v>
      </c>
      <c r="E6" s="101">
        <v>1</v>
      </c>
      <c r="F6" s="101">
        <v>1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2">
        <v>0</v>
      </c>
      <c r="O6" s="103">
        <f>SUMPRODUCT(C6:N6,C3:N3)</f>
        <v>400</v>
      </c>
      <c r="P6" s="104" t="s">
        <v>39</v>
      </c>
      <c r="Q6" s="105">
        <v>500</v>
      </c>
    </row>
    <row r="7" spans="2:27" ht="30" customHeight="1" x14ac:dyDescent="0.25">
      <c r="B7" s="52" t="s">
        <v>30</v>
      </c>
      <c r="C7" s="50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54">
        <v>0</v>
      </c>
      <c r="O7" s="58">
        <f>SUMPRODUCT(C7:N7,C3:N3)</f>
        <v>1000</v>
      </c>
      <c r="P7" s="33" t="s">
        <v>39</v>
      </c>
      <c r="Q7" s="59">
        <v>1000</v>
      </c>
      <c r="W7" s="115" t="s">
        <v>17</v>
      </c>
      <c r="X7" s="116"/>
      <c r="Y7" s="116"/>
      <c r="Z7" s="116"/>
      <c r="AA7" s="116"/>
    </row>
    <row r="8" spans="2:27" x14ac:dyDescent="0.25">
      <c r="B8" s="52" t="s">
        <v>32</v>
      </c>
      <c r="C8" s="50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1</v>
      </c>
      <c r="N8" s="54">
        <v>1</v>
      </c>
      <c r="O8" s="58">
        <f>SUMPRODUCT(C8:N8,C3:N3)</f>
        <v>600</v>
      </c>
      <c r="P8" s="33" t="s">
        <v>39</v>
      </c>
      <c r="Q8" s="59">
        <v>600</v>
      </c>
      <c r="W8" s="117" t="s">
        <v>19</v>
      </c>
      <c r="X8" s="119" t="s">
        <v>20</v>
      </c>
      <c r="Y8" s="120"/>
      <c r="Z8" s="120"/>
      <c r="AA8" s="121"/>
    </row>
    <row r="9" spans="2:27" x14ac:dyDescent="0.25">
      <c r="B9" s="106" t="s">
        <v>33</v>
      </c>
      <c r="C9" s="107">
        <v>1</v>
      </c>
      <c r="D9" s="94">
        <v>0</v>
      </c>
      <c r="E9" s="94">
        <v>0</v>
      </c>
      <c r="F9" s="94">
        <v>0</v>
      </c>
      <c r="G9" s="94">
        <v>1</v>
      </c>
      <c r="H9" s="94">
        <v>0</v>
      </c>
      <c r="I9" s="94">
        <v>0</v>
      </c>
      <c r="J9" s="94">
        <v>0</v>
      </c>
      <c r="K9" s="94">
        <v>1</v>
      </c>
      <c r="L9" s="94">
        <v>0</v>
      </c>
      <c r="M9" s="94">
        <v>0</v>
      </c>
      <c r="N9" s="108">
        <v>0</v>
      </c>
      <c r="O9" s="109">
        <f>SUMPRODUCT(C9:N9,C3:N3)</f>
        <v>500</v>
      </c>
      <c r="P9" s="110" t="s">
        <v>39</v>
      </c>
      <c r="Q9" s="111">
        <v>500</v>
      </c>
      <c r="W9" s="118"/>
      <c r="X9" s="19" t="s">
        <v>48</v>
      </c>
      <c r="Y9" s="19" t="s">
        <v>49</v>
      </c>
      <c r="Z9" s="19" t="s">
        <v>50</v>
      </c>
      <c r="AA9" s="19" t="s">
        <v>54</v>
      </c>
    </row>
    <row r="10" spans="2:27" x14ac:dyDescent="0.25">
      <c r="B10" s="52" t="s">
        <v>34</v>
      </c>
      <c r="C10" s="50">
        <v>0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54">
        <v>0</v>
      </c>
      <c r="O10" s="58">
        <f>SUMPRODUCT(C10:N10,C3:N3)</f>
        <v>700</v>
      </c>
      <c r="P10" s="33" t="s">
        <v>39</v>
      </c>
      <c r="Q10" s="59">
        <v>700</v>
      </c>
      <c r="W10" s="20" t="s">
        <v>45</v>
      </c>
      <c r="X10" s="98">
        <v>6.5</v>
      </c>
      <c r="Y10" s="21">
        <v>5.75</v>
      </c>
      <c r="Z10" s="21">
        <v>6.25</v>
      </c>
      <c r="AA10" s="21">
        <v>5</v>
      </c>
    </row>
    <row r="11" spans="2:27" x14ac:dyDescent="0.25">
      <c r="B11" s="52" t="s">
        <v>36</v>
      </c>
      <c r="C11" s="50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54">
        <v>0</v>
      </c>
      <c r="O11" s="58">
        <f>SUMPRODUCT(C11:N11,C3:N3)</f>
        <v>400</v>
      </c>
      <c r="P11" s="33" t="s">
        <v>39</v>
      </c>
      <c r="Q11" s="59">
        <v>400</v>
      </c>
      <c r="W11" s="20" t="s">
        <v>46</v>
      </c>
      <c r="X11" s="98">
        <v>6.75</v>
      </c>
      <c r="Y11" s="21">
        <v>6.5</v>
      </c>
      <c r="Z11" s="21">
        <v>6.5</v>
      </c>
      <c r="AA11" s="21">
        <v>6.25</v>
      </c>
    </row>
    <row r="12" spans="2:27" x14ac:dyDescent="0.25">
      <c r="B12" s="52" t="s">
        <v>37</v>
      </c>
      <c r="C12" s="50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54">
        <v>1</v>
      </c>
      <c r="O12" s="58">
        <f>SUMPRODUCT(C12:N12,C3:N3)</f>
        <v>400</v>
      </c>
      <c r="P12" s="33" t="s">
        <v>39</v>
      </c>
      <c r="Q12" s="59">
        <v>400</v>
      </c>
      <c r="W12" s="20" t="s">
        <v>47</v>
      </c>
      <c r="X12" s="98">
        <v>7</v>
      </c>
      <c r="Y12" s="21">
        <v>7.5</v>
      </c>
      <c r="Z12" s="21">
        <v>7.5</v>
      </c>
      <c r="AA12" s="21">
        <v>7.25</v>
      </c>
    </row>
    <row r="13" spans="2:27" ht="15.75" thickBot="1" x14ac:dyDescent="0.3">
      <c r="B13" s="53" t="s">
        <v>38</v>
      </c>
      <c r="C13" s="50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54">
        <v>1</v>
      </c>
      <c r="O13" s="58">
        <f>SUMPRODUCT(C13:N13,$C$3:$N$3)</f>
        <v>2000</v>
      </c>
      <c r="P13" s="33" t="s">
        <v>39</v>
      </c>
      <c r="Q13" s="59">
        <v>2000</v>
      </c>
    </row>
    <row r="14" spans="2:27" x14ac:dyDescent="0.25">
      <c r="B14" s="106" t="s">
        <v>58</v>
      </c>
      <c r="C14" s="107">
        <v>1</v>
      </c>
      <c r="D14" s="94">
        <v>0</v>
      </c>
      <c r="E14" s="94">
        <v>0</v>
      </c>
      <c r="F14" s="94">
        <v>0</v>
      </c>
      <c r="G14" s="94">
        <v>1</v>
      </c>
      <c r="H14" s="94">
        <v>0</v>
      </c>
      <c r="I14" s="94">
        <v>0</v>
      </c>
      <c r="J14" s="94">
        <v>0</v>
      </c>
      <c r="K14" s="94">
        <v>1</v>
      </c>
      <c r="L14" s="94">
        <v>0</v>
      </c>
      <c r="M14" s="94">
        <v>0</v>
      </c>
      <c r="N14" s="108">
        <v>0</v>
      </c>
      <c r="O14" s="109">
        <f t="shared" ref="O14:O15" si="0">SUMPRODUCT(C14:N14,$C$3:$N$3)</f>
        <v>500</v>
      </c>
      <c r="P14" s="110" t="s">
        <v>60</v>
      </c>
      <c r="Q14" s="111">
        <v>600</v>
      </c>
      <c r="X14" s="46"/>
    </row>
    <row r="15" spans="2:27" ht="15.75" thickBot="1" x14ac:dyDescent="0.3">
      <c r="B15" s="72" t="s">
        <v>59</v>
      </c>
      <c r="C15" s="73">
        <v>1</v>
      </c>
      <c r="D15" s="74">
        <v>1</v>
      </c>
      <c r="E15" s="74">
        <v>1</v>
      </c>
      <c r="F15" s="74">
        <v>1</v>
      </c>
      <c r="G15" s="74">
        <v>0</v>
      </c>
      <c r="H15" s="74">
        <v>0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5">
        <v>0</v>
      </c>
      <c r="O15" s="77">
        <f t="shared" si="0"/>
        <v>400</v>
      </c>
      <c r="P15" s="78" t="s">
        <v>60</v>
      </c>
      <c r="Q15" s="79">
        <v>650</v>
      </c>
    </row>
    <row r="16" spans="2:27" x14ac:dyDescent="0.25">
      <c r="X16" s="46"/>
    </row>
    <row r="17" spans="12:31" ht="15.75" customHeight="1" x14ac:dyDescent="0.25">
      <c r="L17" s="147" t="s">
        <v>72</v>
      </c>
      <c r="M17" s="148"/>
      <c r="N17" s="148"/>
      <c r="O17" s="148"/>
      <c r="P17" s="149"/>
      <c r="Q17" s="150">
        <f>+$O$3*1.15</f>
        <v>15309.374999999998</v>
      </c>
      <c r="R17" s="150"/>
    </row>
    <row r="20" spans="12:31" ht="15.75" thickBot="1" x14ac:dyDescent="0.3">
      <c r="W20" s="5" t="s">
        <v>26</v>
      </c>
      <c r="X20" s="44" t="s">
        <v>27</v>
      </c>
    </row>
    <row r="21" spans="12:31" x14ac:dyDescent="0.25">
      <c r="W21" s="5" t="s">
        <v>29</v>
      </c>
      <c r="X21" s="45">
        <v>4</v>
      </c>
      <c r="Y21" s="8" t="s">
        <v>24</v>
      </c>
      <c r="Z21" s="7">
        <v>50</v>
      </c>
      <c r="AB21" s="122" t="s">
        <v>21</v>
      </c>
      <c r="AC21" s="155" t="s">
        <v>62</v>
      </c>
      <c r="AD21" s="128" t="s">
        <v>40</v>
      </c>
      <c r="AE21" s="131" t="s">
        <v>41</v>
      </c>
    </row>
    <row r="22" spans="12:31" ht="15.75" thickBot="1" x14ac:dyDescent="0.3">
      <c r="W22" s="5" t="s">
        <v>30</v>
      </c>
      <c r="X22" s="45">
        <v>4</v>
      </c>
      <c r="Y22" s="8" t="s">
        <v>24</v>
      </c>
      <c r="Z22" s="7">
        <v>50</v>
      </c>
      <c r="AB22" s="123"/>
      <c r="AC22" s="155"/>
      <c r="AD22" s="129"/>
      <c r="AE22" s="132"/>
    </row>
    <row r="23" spans="12:31" x14ac:dyDescent="0.25">
      <c r="W23" s="5" t="s">
        <v>32</v>
      </c>
      <c r="X23" s="45">
        <v>4</v>
      </c>
      <c r="Y23" s="8" t="s">
        <v>24</v>
      </c>
      <c r="Z23" s="7">
        <v>50</v>
      </c>
      <c r="AB23" s="42" t="s">
        <v>25</v>
      </c>
      <c r="AC23" s="156"/>
      <c r="AD23" s="130"/>
      <c r="AE23" s="133"/>
    </row>
    <row r="24" spans="12:31" x14ac:dyDescent="0.25">
      <c r="W24" s="5" t="s">
        <v>33</v>
      </c>
      <c r="X24" s="45">
        <v>3</v>
      </c>
      <c r="Y24" s="8" t="s">
        <v>24</v>
      </c>
      <c r="Z24" s="7">
        <v>50</v>
      </c>
      <c r="AB24" s="81" t="s">
        <v>48</v>
      </c>
      <c r="AC24" s="83">
        <v>0.25</v>
      </c>
      <c r="AD24" s="82" t="s">
        <v>51</v>
      </c>
      <c r="AE24" s="82">
        <f>2000*AC24</f>
        <v>500</v>
      </c>
    </row>
    <row r="25" spans="12:31" x14ac:dyDescent="0.25">
      <c r="W25" s="5" t="s">
        <v>34</v>
      </c>
      <c r="X25" s="45">
        <v>3</v>
      </c>
      <c r="Y25" s="8" t="s">
        <v>24</v>
      </c>
      <c r="Z25" s="7">
        <v>50</v>
      </c>
      <c r="AB25" s="81" t="s">
        <v>49</v>
      </c>
      <c r="AC25" s="83">
        <v>0.35</v>
      </c>
      <c r="AD25" s="82" t="s">
        <v>52</v>
      </c>
      <c r="AE25" s="82">
        <f>2000*AC25</f>
        <v>700</v>
      </c>
    </row>
    <row r="26" spans="12:31" x14ac:dyDescent="0.25">
      <c r="W26" s="5" t="s">
        <v>36</v>
      </c>
      <c r="X26" s="45">
        <v>3</v>
      </c>
      <c r="Y26" s="8" t="s">
        <v>24</v>
      </c>
      <c r="Z26" s="7">
        <v>50</v>
      </c>
      <c r="AB26" s="81" t="s">
        <v>50</v>
      </c>
      <c r="AC26" s="83">
        <v>0.2</v>
      </c>
      <c r="AD26" s="82" t="s">
        <v>53</v>
      </c>
      <c r="AE26" s="82">
        <f>2000*AC26</f>
        <v>400</v>
      </c>
    </row>
    <row r="27" spans="12:31" x14ac:dyDescent="0.25">
      <c r="W27" s="5" t="s">
        <v>37</v>
      </c>
      <c r="X27" s="45">
        <v>3</v>
      </c>
      <c r="Y27" s="8" t="s">
        <v>24</v>
      </c>
      <c r="Z27" s="7">
        <v>50</v>
      </c>
      <c r="AB27" s="81" t="s">
        <v>54</v>
      </c>
      <c r="AC27" s="83">
        <v>0.2</v>
      </c>
      <c r="AD27" s="82" t="s">
        <v>53</v>
      </c>
      <c r="AE27" s="82">
        <f>2000*AC27</f>
        <v>400</v>
      </c>
    </row>
    <row r="28" spans="12:31" x14ac:dyDescent="0.25">
      <c r="W28" s="5" t="s">
        <v>38</v>
      </c>
      <c r="X28" s="45">
        <v>12</v>
      </c>
      <c r="Y28" s="8" t="s">
        <v>39</v>
      </c>
      <c r="Z28" s="7">
        <v>2000</v>
      </c>
      <c r="AB28" s="134" t="s">
        <v>19</v>
      </c>
      <c r="AC28" s="135"/>
      <c r="AD28" s="135"/>
      <c r="AE28" s="135"/>
    </row>
    <row r="29" spans="12:31" ht="15.75" thickBot="1" x14ac:dyDescent="0.3">
      <c r="AB29" s="39" t="str">
        <f>'PARTE A '!H10</f>
        <v xml:space="preserve">Área Metropolitana San José (AMSJ) </v>
      </c>
      <c r="AC29" s="84">
        <v>0.2</v>
      </c>
      <c r="AD29" s="82" t="s">
        <v>53</v>
      </c>
      <c r="AE29" s="82">
        <f>2000*AC29</f>
        <v>400</v>
      </c>
    </row>
    <row r="30" spans="12:31" ht="15.75" thickBot="1" x14ac:dyDescent="0.3">
      <c r="AB30" s="39" t="str">
        <f>'PARTE A '!H11</f>
        <v xml:space="preserve">Gran Área Metropolitana (GAM) </v>
      </c>
      <c r="AC30" s="83">
        <v>0.5</v>
      </c>
      <c r="AD30" s="82" t="s">
        <v>55</v>
      </c>
      <c r="AE30" s="82">
        <f>2000*AC30</f>
        <v>1000</v>
      </c>
    </row>
    <row r="31" spans="12:31" ht="15.75" thickBot="1" x14ac:dyDescent="0.3">
      <c r="AB31" s="39" t="str">
        <f>'PARTE A '!H12</f>
        <v xml:space="preserve">Resto del país </v>
      </c>
      <c r="AC31" s="83">
        <v>0.3</v>
      </c>
      <c r="AD31" s="82" t="s">
        <v>56</v>
      </c>
      <c r="AE31" s="82">
        <f>2000*AC31</f>
        <v>600</v>
      </c>
    </row>
  </sheetData>
  <mergeCells count="11">
    <mergeCell ref="C1:P1"/>
    <mergeCell ref="W7:AA7"/>
    <mergeCell ref="W8:W9"/>
    <mergeCell ref="X8:AA8"/>
    <mergeCell ref="L17:P17"/>
    <mergeCell ref="Q17:R17"/>
    <mergeCell ref="AB21:AB22"/>
    <mergeCell ref="AC21:AC23"/>
    <mergeCell ref="AD21:AD23"/>
    <mergeCell ref="AE21:AE23"/>
    <mergeCell ref="AB28:AE28"/>
  </mergeCells>
  <pageMargins left="0.7" right="0.7" top="0.75" bottom="0.75" header="0.3" footer="0.3"/>
  <pageSetup orientation="portrait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97D7-C603-4C44-BC00-5C9A8B3A2BBD}">
  <sheetPr codeName="Hoja8"/>
  <dimension ref="D2:K10"/>
  <sheetViews>
    <sheetView showGridLines="0" tabSelected="1" topLeftCell="E1" zoomScale="166" zoomScaleNormal="166" workbookViewId="0">
      <selection activeCell="F10" sqref="F10"/>
    </sheetView>
  </sheetViews>
  <sheetFormatPr baseColWidth="10" defaultRowHeight="15" x14ac:dyDescent="0.25"/>
  <cols>
    <col min="5" max="5" width="6.28515625" customWidth="1"/>
    <col min="6" max="6" width="20.42578125" bestFit="1" customWidth="1"/>
  </cols>
  <sheetData>
    <row r="2" spans="4:11" ht="15" customHeight="1" x14ac:dyDescent="0.25">
      <c r="E2" s="157" t="s">
        <v>71</v>
      </c>
      <c r="F2" s="157"/>
    </row>
    <row r="3" spans="4:11" x14ac:dyDescent="0.25">
      <c r="E3" s="157"/>
      <c r="F3" s="157"/>
    </row>
    <row r="4" spans="4:11" x14ac:dyDescent="0.25">
      <c r="E4" s="157"/>
      <c r="F4" s="157"/>
    </row>
    <row r="5" spans="4:11" x14ac:dyDescent="0.25">
      <c r="E5" s="74" t="s">
        <v>63</v>
      </c>
      <c r="F5" s="85">
        <f>+'SOLVER a) y b'!O3</f>
        <v>11200</v>
      </c>
    </row>
    <row r="6" spans="4:11" x14ac:dyDescent="0.25">
      <c r="E6" s="86" t="s">
        <v>64</v>
      </c>
      <c r="F6" s="87">
        <f>+F5*1.15</f>
        <v>12879.999999999998</v>
      </c>
    </row>
    <row r="7" spans="4:11" x14ac:dyDescent="0.25">
      <c r="E7" s="88" t="s">
        <v>65</v>
      </c>
      <c r="F7" s="89" cm="1">
        <f t="array" ref="F7:G7">+'SOLVER C'!R15:S15</f>
        <v>13023.749999999998</v>
      </c>
      <c r="G7">
        <v>0</v>
      </c>
    </row>
    <row r="8" spans="4:11" x14ac:dyDescent="0.25">
      <c r="E8" s="90" t="s">
        <v>66</v>
      </c>
      <c r="F8" s="91">
        <f>+'SOLVER d'!O3*1.15</f>
        <v>13555.624999999998</v>
      </c>
      <c r="K8" s="80" t="s">
        <v>61</v>
      </c>
    </row>
    <row r="9" spans="4:11" x14ac:dyDescent="0.25">
      <c r="E9" s="92" t="s">
        <v>67</v>
      </c>
      <c r="F9" s="93">
        <f>+'SOLVER E)'!Q17</f>
        <v>14288.749999999998</v>
      </c>
      <c r="G9" s="96" t="s">
        <v>69</v>
      </c>
      <c r="H9" s="96" t="s">
        <v>70</v>
      </c>
    </row>
    <row r="10" spans="4:11" x14ac:dyDescent="0.25">
      <c r="D10" t="s">
        <v>74</v>
      </c>
      <c r="E10" s="94" t="s">
        <v>68</v>
      </c>
      <c r="F10" s="95">
        <f>+G10-H10</f>
        <v>887.5</v>
      </c>
      <c r="G10" s="96">
        <f>+'SOLVER F)'!O3</f>
        <v>13312.5</v>
      </c>
      <c r="H10" s="96">
        <f>+'SOLVER E)'!O3</f>
        <v>12425</v>
      </c>
    </row>
  </sheetData>
  <mergeCells count="1">
    <mergeCell ref="E2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2F5A-82AD-4680-86AA-0C32B9AA788E}">
  <dimension ref="B1:AA30"/>
  <sheetViews>
    <sheetView showGridLines="0" zoomScale="95" zoomScaleNormal="95" workbookViewId="0">
      <selection activeCell="N4" sqref="N4"/>
    </sheetView>
  </sheetViews>
  <sheetFormatPr baseColWidth="10" defaultColWidth="9.140625" defaultRowHeight="15" x14ac:dyDescent="0.25"/>
  <cols>
    <col min="2" max="2" width="17.7109375" customWidth="1"/>
    <col min="3" max="3" width="5.7109375" customWidth="1"/>
    <col min="4" max="5" width="6.28515625" customWidth="1"/>
    <col min="6" max="6" width="5.5703125" customWidth="1"/>
    <col min="7" max="7" width="6.140625" customWidth="1"/>
    <col min="8" max="8" width="5.28515625" customWidth="1"/>
    <col min="9" max="10" width="6.42578125" customWidth="1"/>
    <col min="11" max="11" width="6.7109375" customWidth="1"/>
    <col min="12" max="12" width="6.42578125" customWidth="1"/>
    <col min="13" max="13" width="6.140625" customWidth="1"/>
    <col min="14" max="14" width="5.7109375" customWidth="1"/>
    <col min="15" max="15" width="6.28515625" customWidth="1"/>
    <col min="16" max="16" width="2.7109375" customWidth="1"/>
    <col min="17" max="17" width="5.28515625" customWidth="1"/>
    <col min="22" max="22" width="11.7109375" bestFit="1" customWidth="1"/>
    <col min="24" max="24" width="11.5703125" customWidth="1"/>
    <col min="25" max="25" width="9.85546875" customWidth="1"/>
    <col min="26" max="26" width="11.28515625" customWidth="1"/>
    <col min="28" max="28" width="11.28515625" customWidth="1"/>
    <col min="29" max="29" width="11.42578125" customWidth="1"/>
    <col min="30" max="30" width="11.140625" customWidth="1"/>
  </cols>
  <sheetData>
    <row r="1" spans="2:27" ht="15.75" thickBot="1" x14ac:dyDescent="0.3">
      <c r="C1" s="141" t="s">
        <v>42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3"/>
    </row>
    <row r="2" spans="2:27" ht="15.75" thickBot="1" x14ac:dyDescent="0.3">
      <c r="C2" s="63" t="s">
        <v>0</v>
      </c>
      <c r="D2" s="64" t="s">
        <v>1</v>
      </c>
      <c r="E2" s="64" t="s">
        <v>2</v>
      </c>
      <c r="F2" s="64" t="s">
        <v>3</v>
      </c>
      <c r="G2" s="64" t="s">
        <v>4</v>
      </c>
      <c r="H2" s="64" t="s">
        <v>5</v>
      </c>
      <c r="I2" s="64" t="s">
        <v>6</v>
      </c>
      <c r="J2" s="64" t="s">
        <v>7</v>
      </c>
      <c r="K2" s="64" t="s">
        <v>8</v>
      </c>
      <c r="L2" s="64" t="s">
        <v>9</v>
      </c>
      <c r="M2" s="64" t="s">
        <v>10</v>
      </c>
      <c r="N2" s="64" t="s">
        <v>11</v>
      </c>
      <c r="O2" s="69" t="s">
        <v>12</v>
      </c>
    </row>
    <row r="3" spans="2:27" ht="15.75" thickBot="1" x14ac:dyDescent="0.3">
      <c r="B3" s="48" t="s">
        <v>18</v>
      </c>
      <c r="C3" s="49">
        <v>50</v>
      </c>
      <c r="D3" s="49">
        <v>50</v>
      </c>
      <c r="E3" s="49">
        <v>50</v>
      </c>
      <c r="F3" s="49">
        <v>250</v>
      </c>
      <c r="G3" s="49">
        <v>50</v>
      </c>
      <c r="H3" s="49">
        <v>600</v>
      </c>
      <c r="I3" s="49">
        <v>250</v>
      </c>
      <c r="J3" s="49">
        <v>100</v>
      </c>
      <c r="K3" s="49">
        <v>400</v>
      </c>
      <c r="L3" s="49">
        <v>50</v>
      </c>
      <c r="M3" s="49">
        <v>100</v>
      </c>
      <c r="N3" s="49">
        <v>50</v>
      </c>
      <c r="O3" s="70">
        <f>SUMPRODUCT(C4:N4,C3:N3)</f>
        <v>12950</v>
      </c>
    </row>
    <row r="4" spans="2:27" ht="15.75" thickBot="1" x14ac:dyDescent="0.3">
      <c r="B4" s="48" t="s">
        <v>23</v>
      </c>
      <c r="C4" s="97">
        <v>6.5</v>
      </c>
      <c r="D4" s="65">
        <v>5.75</v>
      </c>
      <c r="E4" s="65">
        <v>6.25</v>
      </c>
      <c r="F4" s="65">
        <v>5</v>
      </c>
      <c r="G4" s="97">
        <v>6.75</v>
      </c>
      <c r="H4" s="65">
        <v>6.5</v>
      </c>
      <c r="I4" s="65">
        <v>6.5</v>
      </c>
      <c r="J4" s="65">
        <v>6.25</v>
      </c>
      <c r="K4" s="97">
        <v>7</v>
      </c>
      <c r="L4" s="65">
        <v>7.5</v>
      </c>
      <c r="M4" s="65">
        <v>7.5</v>
      </c>
      <c r="N4" s="66">
        <v>7.25</v>
      </c>
    </row>
    <row r="5" spans="2:27" x14ac:dyDescent="0.25">
      <c r="B5" s="51" t="s">
        <v>26</v>
      </c>
      <c r="O5" s="55" t="s">
        <v>27</v>
      </c>
      <c r="P5" s="71"/>
      <c r="Q5" s="57" t="s">
        <v>28</v>
      </c>
    </row>
    <row r="6" spans="2:27" x14ac:dyDescent="0.25">
      <c r="B6" s="99" t="s">
        <v>29</v>
      </c>
      <c r="C6" s="100">
        <v>1</v>
      </c>
      <c r="D6" s="101">
        <v>1</v>
      </c>
      <c r="E6" s="101">
        <v>1</v>
      </c>
      <c r="F6" s="101">
        <v>1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2">
        <v>0</v>
      </c>
      <c r="O6" s="103">
        <f>SUMPRODUCT(C6:N6,C3:N3)</f>
        <v>400</v>
      </c>
      <c r="P6" s="104" t="s">
        <v>43</v>
      </c>
      <c r="Q6" s="105">
        <v>400</v>
      </c>
    </row>
    <row r="7" spans="2:27" ht="30" customHeight="1" x14ac:dyDescent="0.25">
      <c r="B7" s="52" t="s">
        <v>30</v>
      </c>
      <c r="C7" s="50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54">
        <v>0</v>
      </c>
      <c r="O7" s="58">
        <f>SUMPRODUCT(C7:N7,C3:N3)</f>
        <v>1000</v>
      </c>
      <c r="P7" s="33" t="s">
        <v>43</v>
      </c>
      <c r="Q7" s="59">
        <v>1000</v>
      </c>
      <c r="W7" s="115" t="s">
        <v>17</v>
      </c>
      <c r="X7" s="116"/>
      <c r="Y7" s="116"/>
      <c r="Z7" s="116"/>
      <c r="AA7" s="116"/>
    </row>
    <row r="8" spans="2:27" x14ac:dyDescent="0.25">
      <c r="B8" s="52" t="s">
        <v>32</v>
      </c>
      <c r="C8" s="50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1</v>
      </c>
      <c r="N8" s="54">
        <v>1</v>
      </c>
      <c r="O8" s="58">
        <f>SUMPRODUCT(C8:N8,C3:N3)</f>
        <v>600</v>
      </c>
      <c r="P8" s="33" t="s">
        <v>43</v>
      </c>
      <c r="Q8" s="59">
        <v>600</v>
      </c>
      <c r="W8" s="117" t="s">
        <v>19</v>
      </c>
      <c r="X8" s="119" t="s">
        <v>20</v>
      </c>
      <c r="Y8" s="120"/>
      <c r="Z8" s="120"/>
      <c r="AA8" s="121"/>
    </row>
    <row r="9" spans="2:27" x14ac:dyDescent="0.25">
      <c r="B9" s="106" t="s">
        <v>33</v>
      </c>
      <c r="C9" s="107">
        <v>1</v>
      </c>
      <c r="D9" s="94">
        <v>0</v>
      </c>
      <c r="E9" s="94">
        <v>0</v>
      </c>
      <c r="F9" s="94">
        <v>0</v>
      </c>
      <c r="G9" s="94">
        <v>1</v>
      </c>
      <c r="H9" s="94">
        <v>0</v>
      </c>
      <c r="I9" s="94">
        <v>0</v>
      </c>
      <c r="J9" s="94">
        <v>0</v>
      </c>
      <c r="K9" s="94">
        <v>1</v>
      </c>
      <c r="L9" s="94">
        <v>0</v>
      </c>
      <c r="M9" s="94">
        <v>0</v>
      </c>
      <c r="N9" s="108">
        <v>0</v>
      </c>
      <c r="O9" s="109">
        <f>SUMPRODUCT(C9:N9,C3:N3)</f>
        <v>500</v>
      </c>
      <c r="P9" s="110" t="s">
        <v>43</v>
      </c>
      <c r="Q9" s="111">
        <v>500</v>
      </c>
      <c r="W9" s="118"/>
      <c r="X9" s="19" t="s">
        <v>48</v>
      </c>
      <c r="Y9" s="19" t="s">
        <v>49</v>
      </c>
      <c r="Z9" s="19" t="s">
        <v>50</v>
      </c>
      <c r="AA9" s="19" t="s">
        <v>54</v>
      </c>
    </row>
    <row r="10" spans="2:27" x14ac:dyDescent="0.25">
      <c r="B10" s="52" t="s">
        <v>34</v>
      </c>
      <c r="C10" s="50">
        <v>0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54">
        <v>0</v>
      </c>
      <c r="O10" s="58">
        <f>SUMPRODUCT(C10:N10,C3:N3)</f>
        <v>700</v>
      </c>
      <c r="P10" s="33" t="s">
        <v>43</v>
      </c>
      <c r="Q10" s="59">
        <v>700</v>
      </c>
      <c r="W10" s="20" t="s">
        <v>45</v>
      </c>
      <c r="X10" s="98">
        <v>6.5</v>
      </c>
      <c r="Y10" s="21">
        <v>5.75</v>
      </c>
      <c r="Z10" s="21">
        <v>6.25</v>
      </c>
      <c r="AA10" s="21">
        <v>5</v>
      </c>
    </row>
    <row r="11" spans="2:27" x14ac:dyDescent="0.25">
      <c r="B11" s="52" t="s">
        <v>36</v>
      </c>
      <c r="C11" s="50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54">
        <v>0</v>
      </c>
      <c r="O11" s="58">
        <f>SUMPRODUCT(C11:N11,C3:N3)</f>
        <v>400</v>
      </c>
      <c r="P11" s="33" t="s">
        <v>43</v>
      </c>
      <c r="Q11" s="59">
        <v>400</v>
      </c>
      <c r="W11" s="20" t="s">
        <v>46</v>
      </c>
      <c r="X11" s="98">
        <v>6.75</v>
      </c>
      <c r="Y11" s="21">
        <v>6.5</v>
      </c>
      <c r="Z11" s="21">
        <v>6.5</v>
      </c>
      <c r="AA11" s="21">
        <v>6.25</v>
      </c>
    </row>
    <row r="12" spans="2:27" x14ac:dyDescent="0.25">
      <c r="B12" s="52" t="s">
        <v>37</v>
      </c>
      <c r="C12" s="50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54">
        <v>1</v>
      </c>
      <c r="O12" s="58">
        <f>SUMPRODUCT(C12:N12,C3:N3)</f>
        <v>400</v>
      </c>
      <c r="P12" s="33" t="s">
        <v>43</v>
      </c>
      <c r="Q12" s="59">
        <v>400</v>
      </c>
      <c r="W12" s="20" t="s">
        <v>47</v>
      </c>
      <c r="X12" s="98">
        <v>7</v>
      </c>
      <c r="Y12" s="21">
        <v>7.5</v>
      </c>
      <c r="Z12" s="21">
        <v>7.5</v>
      </c>
      <c r="AA12" s="21">
        <v>7.25</v>
      </c>
    </row>
    <row r="13" spans="2:27" ht="15.75" thickBot="1" x14ac:dyDescent="0.3">
      <c r="B13" s="53" t="s">
        <v>38</v>
      </c>
      <c r="C13" s="50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54">
        <v>1</v>
      </c>
      <c r="O13" s="58">
        <f>SUMPRODUCT(C13:N13,$C$3:$N$3)</f>
        <v>2000</v>
      </c>
      <c r="P13" s="33" t="s">
        <v>39</v>
      </c>
      <c r="Q13" s="59">
        <v>2000</v>
      </c>
    </row>
    <row r="14" spans="2:27" x14ac:dyDescent="0.25">
      <c r="B14" s="106" t="s">
        <v>58</v>
      </c>
      <c r="C14" s="107">
        <v>1</v>
      </c>
      <c r="D14" s="94">
        <v>0</v>
      </c>
      <c r="E14" s="94">
        <v>0</v>
      </c>
      <c r="F14" s="94">
        <v>0</v>
      </c>
      <c r="G14" s="94">
        <v>1</v>
      </c>
      <c r="H14" s="94">
        <v>0</v>
      </c>
      <c r="I14" s="94">
        <v>0</v>
      </c>
      <c r="J14" s="94">
        <v>0</v>
      </c>
      <c r="K14" s="94">
        <v>1</v>
      </c>
      <c r="L14" s="94">
        <v>0</v>
      </c>
      <c r="M14" s="94">
        <v>0</v>
      </c>
      <c r="N14" s="108">
        <v>0</v>
      </c>
      <c r="O14" s="109">
        <f t="shared" ref="O14:O15" si="0">SUMPRODUCT(C14:N14,$C$3:$N$3)</f>
        <v>500</v>
      </c>
      <c r="P14" s="110" t="s">
        <v>60</v>
      </c>
      <c r="Q14" s="111">
        <v>600</v>
      </c>
      <c r="X14" s="46"/>
    </row>
    <row r="15" spans="2:27" ht="15.75" thickBot="1" x14ac:dyDescent="0.3">
      <c r="B15" s="72" t="s">
        <v>59</v>
      </c>
      <c r="C15" s="73">
        <v>1</v>
      </c>
      <c r="D15" s="74">
        <v>1</v>
      </c>
      <c r="E15" s="74">
        <v>1</v>
      </c>
      <c r="F15" s="74">
        <v>1</v>
      </c>
      <c r="G15" s="74">
        <v>0</v>
      </c>
      <c r="H15" s="74">
        <v>0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5">
        <v>0</v>
      </c>
      <c r="O15" s="77">
        <f t="shared" si="0"/>
        <v>400</v>
      </c>
      <c r="P15" s="78" t="s">
        <v>60</v>
      </c>
      <c r="Q15" s="79">
        <v>650</v>
      </c>
    </row>
    <row r="16" spans="2:27" x14ac:dyDescent="0.25">
      <c r="X16" s="46"/>
    </row>
    <row r="17" spans="12:26" ht="15.75" customHeight="1" x14ac:dyDescent="0.25">
      <c r="L17" s="147" t="s">
        <v>72</v>
      </c>
      <c r="M17" s="148"/>
      <c r="N17" s="148"/>
      <c r="O17" s="148"/>
      <c r="P17" s="149"/>
      <c r="Q17" s="150">
        <f>+$O$3*1.15</f>
        <v>14892.499999999998</v>
      </c>
      <c r="R17" s="150"/>
    </row>
    <row r="20" spans="12:26" x14ac:dyDescent="0.25">
      <c r="W20" s="5" t="s">
        <v>26</v>
      </c>
      <c r="X20" s="44" t="s">
        <v>27</v>
      </c>
    </row>
    <row r="21" spans="12:26" x14ac:dyDescent="0.25">
      <c r="W21" s="5" t="s">
        <v>29</v>
      </c>
      <c r="X21" s="45">
        <v>4</v>
      </c>
      <c r="Y21" s="8" t="s">
        <v>24</v>
      </c>
      <c r="Z21" s="7">
        <f>+Q6</f>
        <v>400</v>
      </c>
    </row>
    <row r="22" spans="12:26" x14ac:dyDescent="0.25">
      <c r="W22" s="5" t="s">
        <v>30</v>
      </c>
      <c r="X22" s="45">
        <v>4</v>
      </c>
      <c r="Y22" s="8" t="s">
        <v>24</v>
      </c>
      <c r="Z22" s="7">
        <f t="shared" ref="Z22:Z30" si="1">+Q7</f>
        <v>1000</v>
      </c>
    </row>
    <row r="23" spans="12:26" x14ac:dyDescent="0.25">
      <c r="W23" s="5" t="s">
        <v>32</v>
      </c>
      <c r="X23" s="45">
        <v>4</v>
      </c>
      <c r="Y23" s="8" t="s">
        <v>24</v>
      </c>
      <c r="Z23" s="7">
        <f t="shared" si="1"/>
        <v>600</v>
      </c>
    </row>
    <row r="24" spans="12:26" x14ac:dyDescent="0.25">
      <c r="W24" s="5" t="s">
        <v>33</v>
      </c>
      <c r="X24" s="45">
        <v>3</v>
      </c>
      <c r="Y24" s="8" t="s">
        <v>24</v>
      </c>
      <c r="Z24" s="7">
        <f t="shared" si="1"/>
        <v>500</v>
      </c>
    </row>
    <row r="25" spans="12:26" x14ac:dyDescent="0.25">
      <c r="W25" s="5" t="s">
        <v>34</v>
      </c>
      <c r="X25" s="45">
        <v>3</v>
      </c>
      <c r="Y25" s="8" t="s">
        <v>24</v>
      </c>
      <c r="Z25" s="7">
        <f t="shared" si="1"/>
        <v>700</v>
      </c>
    </row>
    <row r="26" spans="12:26" x14ac:dyDescent="0.25">
      <c r="W26" s="5" t="s">
        <v>36</v>
      </c>
      <c r="X26" s="45">
        <v>3</v>
      </c>
      <c r="Y26" s="8" t="s">
        <v>24</v>
      </c>
      <c r="Z26" s="7">
        <f t="shared" si="1"/>
        <v>400</v>
      </c>
    </row>
    <row r="27" spans="12:26" x14ac:dyDescent="0.25">
      <c r="W27" s="5" t="s">
        <v>37</v>
      </c>
      <c r="X27" s="45">
        <v>3</v>
      </c>
      <c r="Y27" s="8" t="s">
        <v>24</v>
      </c>
      <c r="Z27" s="7">
        <f t="shared" si="1"/>
        <v>400</v>
      </c>
    </row>
    <row r="28" spans="12:26" x14ac:dyDescent="0.25">
      <c r="W28" s="5" t="s">
        <v>38</v>
      </c>
      <c r="X28" s="45">
        <v>12</v>
      </c>
      <c r="Y28" s="8" t="s">
        <v>39</v>
      </c>
      <c r="Z28" s="7">
        <f t="shared" si="1"/>
        <v>2000</v>
      </c>
    </row>
    <row r="29" spans="12:26" x14ac:dyDescent="0.25">
      <c r="V29" s="151" t="s">
        <v>58</v>
      </c>
      <c r="W29" s="152"/>
      <c r="X29" s="112">
        <v>3</v>
      </c>
      <c r="Y29" s="76" t="s">
        <v>60</v>
      </c>
      <c r="Z29" s="74">
        <f>+Q14</f>
        <v>600</v>
      </c>
    </row>
    <row r="30" spans="12:26" x14ac:dyDescent="0.25">
      <c r="V30" s="153" t="s">
        <v>59</v>
      </c>
      <c r="W30" s="154"/>
      <c r="X30" s="112">
        <v>4</v>
      </c>
      <c r="Y30" s="76" t="s">
        <v>60</v>
      </c>
      <c r="Z30" s="74">
        <f t="shared" si="1"/>
        <v>650</v>
      </c>
    </row>
  </sheetData>
  <mergeCells count="8">
    <mergeCell ref="V29:W29"/>
    <mergeCell ref="V30:W30"/>
    <mergeCell ref="C1:P1"/>
    <mergeCell ref="W7:AA7"/>
    <mergeCell ref="W8:W9"/>
    <mergeCell ref="X8:AA8"/>
    <mergeCell ref="L17:P17"/>
    <mergeCell ref="Q17:R17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PARTE A </vt:lpstr>
      <vt:lpstr>SOLVER a) y b</vt:lpstr>
      <vt:lpstr>SOLVER C</vt:lpstr>
      <vt:lpstr>SOLVER d</vt:lpstr>
      <vt:lpstr>SOLVER E)</vt:lpstr>
      <vt:lpstr>SOLVER F)</vt:lpstr>
      <vt:lpstr>RESPUESTAS</vt:lpstr>
      <vt:lpstr>SOLVER E)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 Bricelda Aguilar González</dc:creator>
  <cp:keywords/>
  <dc:description/>
  <cp:lastModifiedBy>ANTONIO</cp:lastModifiedBy>
  <cp:revision/>
  <dcterms:created xsi:type="dcterms:W3CDTF">2022-07-12T19:46:09Z</dcterms:created>
  <dcterms:modified xsi:type="dcterms:W3CDTF">2025-07-06T02:50:45Z</dcterms:modified>
  <cp:category/>
  <cp:contentStatus/>
</cp:coreProperties>
</file>