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ersonal\Desktop\II CUATRI 2025\OPERACIONES\P1\"/>
    </mc:Choice>
  </mc:AlternateContent>
  <xr:revisionPtr revIDLastSave="0" documentId="13_ncr:1_{DE65B49B-E9FA-4812-BE86-FBC7B416C8E1}" xr6:coauthVersionLast="47" xr6:coauthVersionMax="47" xr10:uidLastSave="{00000000-0000-0000-0000-000000000000}"/>
  <bookViews>
    <workbookView xWindow="-120" yWindow="-120" windowWidth="29040" windowHeight="15720" tabRatio="721" xr2:uid="{91BFE793-B299-48EF-9134-79AEED5C9B50}"/>
  </bookViews>
  <sheets>
    <sheet name="SOLVER F)" sheetId="23" r:id="rId1"/>
  </sheets>
  <definedNames>
    <definedName name="solver_adj" localSheetId="0" hidden="1">'SOLVER F)'!$C$3:$N$3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'SOLVER F)'!$C$3:$N$3</definedName>
    <definedName name="solver_lhs2" localSheetId="0" hidden="1">'SOLVER F)'!$O$13</definedName>
    <definedName name="solver_lhs3" localSheetId="0" hidden="1">'SOLVER F)'!$O$14:$O$15</definedName>
    <definedName name="solver_lhs4" localSheetId="0" hidden="1">'SOLVER F)'!$O$7:$O$12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'SOLVER F)'!$O$3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1</definedName>
    <definedName name="solver_rel4" localSheetId="0" hidden="1">2</definedName>
    <definedName name="solver_rhs1" localSheetId="0" hidden="1">50</definedName>
    <definedName name="solver_rhs2" localSheetId="0" hidden="1">'SOLVER F)'!$Q$13</definedName>
    <definedName name="solver_rhs3" localSheetId="0" hidden="1">'SOLVER F)'!$Q$14:$Q$15</definedName>
    <definedName name="solver_rhs4" localSheetId="0" hidden="1">'SOLVER F)'!$Q$7:$Q$12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0" i="23" l="1"/>
  <c r="AB31" i="23"/>
  <c r="AB29" i="23"/>
  <c r="AE31" i="23"/>
  <c r="AE30" i="23"/>
  <c r="AE29" i="23"/>
  <c r="AE27" i="23"/>
  <c r="AE26" i="23"/>
  <c r="AE25" i="23"/>
  <c r="AE24" i="23"/>
  <c r="O15" i="23"/>
  <c r="O14" i="23"/>
  <c r="O13" i="23"/>
  <c r="O12" i="23"/>
  <c r="O11" i="23"/>
  <c r="O10" i="23"/>
  <c r="O9" i="23"/>
  <c r="O8" i="23"/>
  <c r="O7" i="23"/>
  <c r="O6" i="23"/>
  <c r="O3" i="23"/>
  <c r="Q17" i="23" s="1"/>
</calcChain>
</file>

<file path=xl/sharedStrings.xml><?xml version="1.0" encoding="utf-8"?>
<sst xmlns="http://schemas.openxmlformats.org/spreadsheetml/2006/main" count="85" uniqueCount="53">
  <si>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</si>
  <si>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</si>
  <si>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</si>
  <si>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</si>
  <si>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</si>
  <si>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</si>
  <si>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</si>
  <si>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</si>
  <si>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</si>
  <si>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</si>
  <si>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</si>
  <si>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X34</t>
  </si>
  <si>
    <t>Z</t>
  </si>
  <si>
    <t>Variables Rango años, localidad y costo en dólares</t>
  </si>
  <si>
    <t>Solución Óptima</t>
  </si>
  <si>
    <t>Región</t>
  </si>
  <si>
    <t>Grupo de Edad</t>
  </si>
  <si>
    <t>Población</t>
  </si>
  <si>
    <t>Coeficientes</t>
  </si>
  <si>
    <t>&gt;=</t>
  </si>
  <si>
    <t>Grupo de edad</t>
  </si>
  <si>
    <t>Restricciones</t>
  </si>
  <si>
    <t>LHS</t>
  </si>
  <si>
    <t>RHS</t>
  </si>
  <si>
    <t>∑X1j</t>
  </si>
  <si>
    <t>∑X2j</t>
  </si>
  <si>
    <t>∑X3j</t>
  </si>
  <si>
    <t>∑Xi1</t>
  </si>
  <si>
    <t>∑Xi2</t>
  </si>
  <si>
    <t>∑Xi3</t>
  </si>
  <si>
    <t>∑Xi4</t>
  </si>
  <si>
    <t>∑∑Xij</t>
  </si>
  <si>
    <t>=</t>
  </si>
  <si>
    <t>Cálculo</t>
  </si>
  <si>
    <t>Al menos</t>
  </si>
  <si>
    <t>CON SOLVER</t>
  </si>
  <si>
    <t xml:space="preserve">Área Metropolitana San José (AMSJ) </t>
  </si>
  <si>
    <t xml:space="preserve">Gran Área Metropolitana (GAM) </t>
  </si>
  <si>
    <t xml:space="preserve">Resto del país </t>
  </si>
  <si>
    <t>15-24</t>
  </si>
  <si>
    <t>25-44</t>
  </si>
  <si>
    <t>45-64</t>
  </si>
  <si>
    <t>2000*25%</t>
  </si>
  <si>
    <t>2000*35%</t>
  </si>
  <si>
    <t>2000*20%</t>
  </si>
  <si>
    <t>65 o más</t>
  </si>
  <si>
    <t>2000*50%</t>
  </si>
  <si>
    <t>2000*30%</t>
  </si>
  <si>
    <t>Grupo 15–24 ≤ 600</t>
  </si>
  <si>
    <t>AMSJ ≤ 650</t>
  </si>
  <si>
    <t>≤</t>
  </si>
  <si>
    <t>NUEVOS %</t>
  </si>
  <si>
    <t>COTIZACIÓN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</si>
</sst>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A383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2" fillId="5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164" fontId="1" fillId="0" borderId="1" xfId="1" applyFont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3" fillId="6" borderId="11" xfId="0" applyFont="1" applyFill="1" applyBorder="1" applyAlignment="1">
      <alignment horizontal="left" vertical="center"/>
    </xf>
    <xf numFmtId="0" fontId="7" fillId="14" borderId="1" xfId="0" applyFont="1" applyFill="1" applyBorder="1" applyAlignment="1">
      <alignment vertical="center"/>
    </xf>
    <xf numFmtId="0" fontId="0" fillId="1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0" borderId="0" xfId="0" applyNumberFormat="1"/>
    <xf numFmtId="0" fontId="2" fillId="13" borderId="18" xfId="0" applyFont="1" applyFill="1" applyBorder="1"/>
    <xf numFmtId="0" fontId="0" fillId="0" borderId="19" xfId="0" applyBorder="1" applyAlignment="1">
      <alignment horizontal="right" vertical="center"/>
    </xf>
    <xf numFmtId="0" fontId="0" fillId="0" borderId="3" xfId="0" applyBorder="1"/>
    <xf numFmtId="0" fontId="2" fillId="13" borderId="24" xfId="0" applyFont="1" applyFill="1" applyBorder="1"/>
    <xf numFmtId="0" fontId="2" fillId="13" borderId="25" xfId="0" applyFont="1" applyFill="1" applyBorder="1"/>
    <xf numFmtId="0" fontId="2" fillId="13" borderId="26" xfId="0" applyFont="1" applyFill="1" applyBorder="1"/>
    <xf numFmtId="0" fontId="0" fillId="0" borderId="2" xfId="0" applyBorder="1"/>
    <xf numFmtId="0" fontId="0" fillId="7" borderId="27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13" borderId="29" xfId="0" applyFill="1" applyBorder="1"/>
    <xf numFmtId="0" fontId="0" fillId="13" borderId="30" xfId="0" applyFill="1" applyBorder="1"/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2" fontId="0" fillId="2" borderId="19" xfId="2" applyNumberFormat="1" applyFont="1" applyFill="1" applyBorder="1" applyAlignment="1">
      <alignment horizontal="center" vertical="center"/>
    </xf>
    <xf numFmtId="2" fontId="0" fillId="2" borderId="20" xfId="2" applyNumberFormat="1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2" fillId="15" borderId="26" xfId="0" applyFont="1" applyFill="1" applyBorder="1"/>
    <xf numFmtId="0" fontId="0" fillId="15" borderId="3" xfId="0" applyFill="1" applyBorder="1"/>
    <xf numFmtId="0" fontId="0" fillId="15" borderId="1" xfId="0" applyFill="1" applyBorder="1"/>
    <xf numFmtId="0" fontId="0" fillId="15" borderId="2" xfId="0" applyFill="1" applyBorder="1"/>
    <xf numFmtId="0" fontId="0" fillId="15" borderId="31" xfId="0" applyFill="1" applyBorder="1"/>
    <xf numFmtId="0" fontId="0" fillId="15" borderId="32" xfId="0" applyFill="1" applyBorder="1" applyAlignment="1">
      <alignment horizontal="center" vertical="center"/>
    </xf>
    <xf numFmtId="0" fontId="0" fillId="15" borderId="33" xfId="0" applyFill="1" applyBorder="1"/>
    <xf numFmtId="0" fontId="2" fillId="9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9" fontId="0" fillId="4" borderId="1" xfId="0" applyNumberFormat="1" applyFont="1" applyFill="1" applyBorder="1" applyAlignment="1">
      <alignment horizontal="left"/>
    </xf>
    <xf numFmtId="9" fontId="0" fillId="4" borderId="0" xfId="0" applyNumberFormat="1" applyFont="1" applyFill="1" applyAlignment="1">
      <alignment horizontal="left"/>
    </xf>
    <xf numFmtId="0" fontId="0" fillId="16" borderId="1" xfId="0" applyFill="1" applyBorder="1"/>
    <xf numFmtId="2" fontId="0" fillId="17" borderId="19" xfId="2" applyNumberFormat="1" applyFont="1" applyFill="1" applyBorder="1" applyAlignment="1">
      <alignment horizontal="center" vertical="center"/>
    </xf>
    <xf numFmtId="164" fontId="1" fillId="17" borderId="1" xfId="1" applyFont="1" applyFill="1" applyBorder="1" applyAlignment="1">
      <alignment vertical="center"/>
    </xf>
    <xf numFmtId="0" fontId="2" fillId="18" borderId="25" xfId="0" applyFont="1" applyFill="1" applyBorder="1"/>
    <xf numFmtId="0" fontId="0" fillId="18" borderId="3" xfId="0" applyFill="1" applyBorder="1"/>
    <xf numFmtId="0" fontId="0" fillId="18" borderId="1" xfId="0" applyFill="1" applyBorder="1"/>
    <xf numFmtId="0" fontId="0" fillId="18" borderId="2" xfId="0" applyFill="1" applyBorder="1"/>
    <xf numFmtId="0" fontId="0" fillId="18" borderId="29" xfId="0" applyFill="1" applyBorder="1"/>
    <xf numFmtId="0" fontId="0" fillId="18" borderId="1" xfId="0" applyFill="1" applyBorder="1" applyAlignment="1">
      <alignment horizontal="center" vertical="center"/>
    </xf>
    <xf numFmtId="0" fontId="0" fillId="18" borderId="30" xfId="0" applyFill="1" applyBorder="1"/>
    <xf numFmtId="0" fontId="2" fillId="16" borderId="25" xfId="0" applyFont="1" applyFill="1" applyBorder="1"/>
    <xf numFmtId="0" fontId="0" fillId="16" borderId="3" xfId="0" applyFill="1" applyBorder="1"/>
    <xf numFmtId="0" fontId="0" fillId="16" borderId="2" xfId="0" applyFill="1" applyBorder="1"/>
    <xf numFmtId="0" fontId="0" fillId="16" borderId="29" xfId="0" applyFill="1" applyBorder="1"/>
    <xf numFmtId="0" fontId="0" fillId="16" borderId="1" xfId="0" applyFill="1" applyBorder="1" applyAlignment="1">
      <alignment horizontal="center" vertical="center"/>
    </xf>
    <xf numFmtId="0" fontId="0" fillId="16" borderId="30" xfId="0" applyFill="1" applyBorder="1"/>
    <xf numFmtId="0" fontId="6" fillId="12" borderId="10" xfId="0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 vertical="center"/>
    </xf>
    <xf numFmtId="0" fontId="6" fillId="12" borderId="36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 wrapText="1"/>
    </xf>
    <xf numFmtId="0" fontId="6" fillId="12" borderId="14" xfId="0" applyFont="1" applyFill="1" applyBorder="1" applyAlignment="1">
      <alignment horizontal="center" vertical="center" wrapText="1"/>
    </xf>
    <xf numFmtId="0" fontId="6" fillId="12" borderId="8" xfId="0" applyFont="1" applyFill="1" applyBorder="1" applyAlignment="1">
      <alignment horizontal="center" vertical="center" wrapText="1"/>
    </xf>
    <xf numFmtId="0" fontId="7" fillId="9" borderId="15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0" fillId="10" borderId="12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5" fillId="11" borderId="8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FF00"/>
      <color rgb="FF9966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FA1F-92B4-4B18-83B5-D9B39BE96D33}">
  <dimension ref="B1:AE31"/>
  <sheetViews>
    <sheetView showGridLines="0" tabSelected="1" topLeftCell="B1" zoomScale="95" zoomScaleNormal="95" workbookViewId="0">
      <selection activeCell="AB29" sqref="AB29:AB31"/>
    </sheetView>
  </sheetViews>
  <sheetFormatPr baseColWidth="10" defaultColWidth="9.140625" defaultRowHeight="15" x14ac:dyDescent="0.25"/>
  <cols>
    <col min="2" max="2" width="17.7109375" customWidth="1"/>
    <col min="3" max="3" width="5.7109375" customWidth="1"/>
    <col min="4" max="5" width="6.28515625" customWidth="1"/>
    <col min="6" max="6" width="5.5703125" customWidth="1"/>
    <col min="7" max="7" width="6.140625" customWidth="1"/>
    <col min="8" max="8" width="5.28515625" customWidth="1"/>
    <col min="9" max="10" width="6.42578125" customWidth="1"/>
    <col min="11" max="11" width="6.7109375" customWidth="1"/>
    <col min="12" max="12" width="6.42578125" customWidth="1"/>
    <col min="13" max="13" width="6.140625" customWidth="1"/>
    <col min="14" max="14" width="5.7109375" customWidth="1"/>
    <col min="15" max="15" width="6.28515625" customWidth="1"/>
    <col min="16" max="16" width="2.7109375" customWidth="1"/>
    <col min="17" max="17" width="5.28515625" customWidth="1"/>
    <col min="22" max="22" width="11.7109375" bestFit="1" customWidth="1"/>
    <col min="24" max="24" width="11.5703125" customWidth="1"/>
    <col min="25" max="25" width="9.85546875" customWidth="1"/>
    <col min="26" max="26" width="11.28515625" customWidth="1"/>
    <col min="28" max="28" width="37.7109375" customWidth="1"/>
    <col min="29" max="29" width="11.42578125" customWidth="1"/>
    <col min="30" max="30" width="11.140625" customWidth="1"/>
  </cols>
  <sheetData>
    <row r="1" spans="2:27" ht="15.75" thickBot="1" x14ac:dyDescent="0.3">
      <c r="C1" s="71" t="s">
        <v>35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3"/>
    </row>
    <row r="2" spans="2:27" ht="15.75" thickBot="1" x14ac:dyDescent="0.3">
      <c r="C2" s="25" t="s">
        <v>0</v>
      </c>
      <c r="D2" s="26" t="s">
        <v>1</v>
      </c>
      <c r="E2" s="26" t="s">
        <v>2</v>
      </c>
      <c r="F2" s="26" t="s">
        <v>3</v>
      </c>
      <c r="G2" s="26" t="s">
        <v>4</v>
      </c>
      <c r="H2" s="26" t="s">
        <v>5</v>
      </c>
      <c r="I2" s="26" t="s">
        <v>6</v>
      </c>
      <c r="J2" s="26" t="s">
        <v>7</v>
      </c>
      <c r="K2" s="26" t="s">
        <v>8</v>
      </c>
      <c r="L2" s="26" t="s">
        <v>9</v>
      </c>
      <c r="M2" s="26" t="s">
        <v>10</v>
      </c>
      <c r="N2" s="26" t="s">
        <v>11</v>
      </c>
      <c r="O2" s="29" t="s">
        <v>12</v>
      </c>
    </row>
    <row r="3" spans="2:27" ht="15.75" thickBot="1" x14ac:dyDescent="0.3">
      <c r="B3" s="14" t="s">
        <v>14</v>
      </c>
      <c r="C3" s="15">
        <v>50</v>
      </c>
      <c r="D3" s="15">
        <v>50</v>
      </c>
      <c r="E3" s="15">
        <v>50</v>
      </c>
      <c r="F3" s="15">
        <v>250</v>
      </c>
      <c r="G3" s="15">
        <v>50</v>
      </c>
      <c r="H3" s="15">
        <v>600</v>
      </c>
      <c r="I3" s="15">
        <v>250</v>
      </c>
      <c r="J3" s="15">
        <v>100</v>
      </c>
      <c r="K3" s="15">
        <v>400</v>
      </c>
      <c r="L3" s="15">
        <v>50</v>
      </c>
      <c r="M3" s="15">
        <v>100</v>
      </c>
      <c r="N3" s="15">
        <v>50</v>
      </c>
      <c r="O3" s="30">
        <f>SUMPRODUCT(C4:N4,C3:N3)</f>
        <v>12950</v>
      </c>
    </row>
    <row r="4" spans="2:27" ht="15.75" thickBot="1" x14ac:dyDescent="0.3">
      <c r="B4" s="14" t="s">
        <v>18</v>
      </c>
      <c r="C4" s="44">
        <v>6.5</v>
      </c>
      <c r="D4" s="27">
        <v>5.75</v>
      </c>
      <c r="E4" s="27">
        <v>6.25</v>
      </c>
      <c r="F4" s="27">
        <v>5</v>
      </c>
      <c r="G4" s="44">
        <v>6.75</v>
      </c>
      <c r="H4" s="27">
        <v>6.5</v>
      </c>
      <c r="I4" s="27">
        <v>6.5</v>
      </c>
      <c r="J4" s="27">
        <v>6.25</v>
      </c>
      <c r="K4" s="44">
        <v>7</v>
      </c>
      <c r="L4" s="27">
        <v>7.5</v>
      </c>
      <c r="M4" s="27">
        <v>7.5</v>
      </c>
      <c r="N4" s="28">
        <v>7.25</v>
      </c>
    </row>
    <row r="5" spans="2:27" x14ac:dyDescent="0.25">
      <c r="B5" s="17" t="s">
        <v>21</v>
      </c>
      <c r="O5" s="21" t="s">
        <v>22</v>
      </c>
      <c r="P5" s="31"/>
      <c r="Q5" s="22" t="s">
        <v>23</v>
      </c>
    </row>
    <row r="6" spans="2:27" x14ac:dyDescent="0.25">
      <c r="B6" s="46" t="s">
        <v>24</v>
      </c>
      <c r="C6" s="47">
        <v>1</v>
      </c>
      <c r="D6" s="48">
        <v>1</v>
      </c>
      <c r="E6" s="48">
        <v>1</v>
      </c>
      <c r="F6" s="48">
        <v>1</v>
      </c>
      <c r="G6" s="48">
        <v>0</v>
      </c>
      <c r="H6" s="48">
        <v>0</v>
      </c>
      <c r="I6" s="48">
        <v>0</v>
      </c>
      <c r="J6" s="48">
        <v>0</v>
      </c>
      <c r="K6" s="48">
        <v>0</v>
      </c>
      <c r="L6" s="48">
        <v>0</v>
      </c>
      <c r="M6" s="48">
        <v>0</v>
      </c>
      <c r="N6" s="49">
        <v>0</v>
      </c>
      <c r="O6" s="50">
        <f>SUMPRODUCT(C6:N6,C3:N3)</f>
        <v>400</v>
      </c>
      <c r="P6" s="51" t="s">
        <v>32</v>
      </c>
      <c r="Q6" s="52">
        <v>400</v>
      </c>
    </row>
    <row r="7" spans="2:27" ht="30" customHeight="1" x14ac:dyDescent="0.25">
      <c r="B7" s="18" t="s">
        <v>25</v>
      </c>
      <c r="C7" s="16">
        <v>0</v>
      </c>
      <c r="D7" s="1">
        <v>0</v>
      </c>
      <c r="E7" s="1">
        <v>0</v>
      </c>
      <c r="F7" s="1">
        <v>0</v>
      </c>
      <c r="G7" s="1">
        <v>1</v>
      </c>
      <c r="H7" s="1">
        <v>1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20">
        <v>0</v>
      </c>
      <c r="O7" s="23">
        <f>SUMPRODUCT(C7:N7,C3:N3)</f>
        <v>1000</v>
      </c>
      <c r="P7" s="8" t="s">
        <v>32</v>
      </c>
      <c r="Q7" s="24">
        <v>1000</v>
      </c>
      <c r="W7" s="74" t="s">
        <v>13</v>
      </c>
      <c r="X7" s="75"/>
      <c r="Y7" s="75"/>
      <c r="Z7" s="75"/>
      <c r="AA7" s="75"/>
    </row>
    <row r="8" spans="2:27" x14ac:dyDescent="0.25">
      <c r="B8" s="18" t="s">
        <v>26</v>
      </c>
      <c r="C8" s="16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1</v>
      </c>
      <c r="M8" s="1">
        <v>1</v>
      </c>
      <c r="N8" s="20">
        <v>1</v>
      </c>
      <c r="O8" s="23">
        <f>SUMPRODUCT(C8:N8,C3:N3)</f>
        <v>600</v>
      </c>
      <c r="P8" s="8" t="s">
        <v>32</v>
      </c>
      <c r="Q8" s="24">
        <v>600</v>
      </c>
      <c r="W8" s="76" t="s">
        <v>15</v>
      </c>
      <c r="X8" s="78" t="s">
        <v>16</v>
      </c>
      <c r="Y8" s="79"/>
      <c r="Z8" s="79"/>
      <c r="AA8" s="80"/>
    </row>
    <row r="9" spans="2:27" x14ac:dyDescent="0.25">
      <c r="B9" s="53" t="s">
        <v>27</v>
      </c>
      <c r="C9" s="54">
        <v>1</v>
      </c>
      <c r="D9" s="43">
        <v>0</v>
      </c>
      <c r="E9" s="43">
        <v>0</v>
      </c>
      <c r="F9" s="43">
        <v>0</v>
      </c>
      <c r="G9" s="43">
        <v>1</v>
      </c>
      <c r="H9" s="43">
        <v>0</v>
      </c>
      <c r="I9" s="43">
        <v>0</v>
      </c>
      <c r="J9" s="43">
        <v>0</v>
      </c>
      <c r="K9" s="43">
        <v>1</v>
      </c>
      <c r="L9" s="43">
        <v>0</v>
      </c>
      <c r="M9" s="43">
        <v>0</v>
      </c>
      <c r="N9" s="55">
        <v>0</v>
      </c>
      <c r="O9" s="56">
        <f>SUMPRODUCT(C9:N9,C3:N3)</f>
        <v>500</v>
      </c>
      <c r="P9" s="57" t="s">
        <v>32</v>
      </c>
      <c r="Q9" s="58">
        <v>500</v>
      </c>
      <c r="W9" s="77"/>
      <c r="X9" s="5" t="s">
        <v>39</v>
      </c>
      <c r="Y9" s="5" t="s">
        <v>40</v>
      </c>
      <c r="Z9" s="5" t="s">
        <v>41</v>
      </c>
      <c r="AA9" s="5" t="s">
        <v>45</v>
      </c>
    </row>
    <row r="10" spans="2:27" x14ac:dyDescent="0.25">
      <c r="B10" s="18" t="s">
        <v>28</v>
      </c>
      <c r="C10" s="16">
        <v>0</v>
      </c>
      <c r="D10" s="1">
        <v>1</v>
      </c>
      <c r="E10" s="1">
        <v>0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20">
        <v>0</v>
      </c>
      <c r="O10" s="23">
        <f>SUMPRODUCT(C10:N10,C3:N3)</f>
        <v>700</v>
      </c>
      <c r="P10" s="8" t="s">
        <v>32</v>
      </c>
      <c r="Q10" s="24">
        <v>700</v>
      </c>
      <c r="W10" s="6" t="s">
        <v>36</v>
      </c>
      <c r="X10" s="45">
        <v>6.5</v>
      </c>
      <c r="Y10" s="7">
        <v>5.75</v>
      </c>
      <c r="Z10" s="7">
        <v>6.25</v>
      </c>
      <c r="AA10" s="7">
        <v>5</v>
      </c>
    </row>
    <row r="11" spans="2:27" x14ac:dyDescent="0.25">
      <c r="B11" s="18" t="s">
        <v>29</v>
      </c>
      <c r="C11" s="16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1</v>
      </c>
      <c r="N11" s="20">
        <v>0</v>
      </c>
      <c r="O11" s="23">
        <f>SUMPRODUCT(C11:N11,C3:N3)</f>
        <v>400</v>
      </c>
      <c r="P11" s="8" t="s">
        <v>32</v>
      </c>
      <c r="Q11" s="24">
        <v>400</v>
      </c>
      <c r="W11" s="6" t="s">
        <v>37</v>
      </c>
      <c r="X11" s="45">
        <v>6.75</v>
      </c>
      <c r="Y11" s="7">
        <v>6.5</v>
      </c>
      <c r="Z11" s="7">
        <v>6.5</v>
      </c>
      <c r="AA11" s="7">
        <v>6.25</v>
      </c>
    </row>
    <row r="12" spans="2:27" x14ac:dyDescent="0.25">
      <c r="B12" s="18" t="s">
        <v>30</v>
      </c>
      <c r="C12" s="16">
        <v>0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  <c r="N12" s="20">
        <v>1</v>
      </c>
      <c r="O12" s="23">
        <f>SUMPRODUCT(C12:N12,C3:N3)</f>
        <v>400</v>
      </c>
      <c r="P12" s="8" t="s">
        <v>32</v>
      </c>
      <c r="Q12" s="24">
        <v>400</v>
      </c>
      <c r="W12" s="6" t="s">
        <v>38</v>
      </c>
      <c r="X12" s="45">
        <v>7</v>
      </c>
      <c r="Y12" s="7">
        <v>7.5</v>
      </c>
      <c r="Z12" s="7">
        <v>7.5</v>
      </c>
      <c r="AA12" s="7">
        <v>7.25</v>
      </c>
    </row>
    <row r="13" spans="2:27" ht="15.75" thickBot="1" x14ac:dyDescent="0.3">
      <c r="B13" s="19" t="s">
        <v>31</v>
      </c>
      <c r="C13" s="16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20">
        <v>1</v>
      </c>
      <c r="O13" s="23">
        <f>SUMPRODUCT(C13:N13,$C$3:$N$3)</f>
        <v>2000</v>
      </c>
      <c r="P13" s="8" t="s">
        <v>32</v>
      </c>
      <c r="Q13" s="24">
        <v>2000</v>
      </c>
    </row>
    <row r="14" spans="2:27" x14ac:dyDescent="0.25">
      <c r="B14" s="53" t="s">
        <v>48</v>
      </c>
      <c r="C14" s="54">
        <v>1</v>
      </c>
      <c r="D14" s="43">
        <v>0</v>
      </c>
      <c r="E14" s="43">
        <v>0</v>
      </c>
      <c r="F14" s="43">
        <v>0</v>
      </c>
      <c r="G14" s="43">
        <v>1</v>
      </c>
      <c r="H14" s="43">
        <v>0</v>
      </c>
      <c r="I14" s="43">
        <v>0</v>
      </c>
      <c r="J14" s="43">
        <v>0</v>
      </c>
      <c r="K14" s="43">
        <v>1</v>
      </c>
      <c r="L14" s="43">
        <v>0</v>
      </c>
      <c r="M14" s="43">
        <v>0</v>
      </c>
      <c r="N14" s="55">
        <v>0</v>
      </c>
      <c r="O14" s="56">
        <f t="shared" ref="O14:O15" si="0">SUMPRODUCT(C14:N14,$C$3:$N$3)</f>
        <v>500</v>
      </c>
      <c r="P14" s="57" t="s">
        <v>50</v>
      </c>
      <c r="Q14" s="58">
        <v>600</v>
      </c>
      <c r="X14" s="13"/>
    </row>
    <row r="15" spans="2:27" ht="15.75" thickBot="1" x14ac:dyDescent="0.3">
      <c r="B15" s="32" t="s">
        <v>49</v>
      </c>
      <c r="C15" s="33">
        <v>1</v>
      </c>
      <c r="D15" s="34">
        <v>1</v>
      </c>
      <c r="E15" s="34">
        <v>1</v>
      </c>
      <c r="F15" s="34">
        <v>1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5">
        <v>0</v>
      </c>
      <c r="O15" s="36">
        <f t="shared" si="0"/>
        <v>400</v>
      </c>
      <c r="P15" s="37" t="s">
        <v>50</v>
      </c>
      <c r="Q15" s="38">
        <v>650</v>
      </c>
    </row>
    <row r="16" spans="2:27" x14ac:dyDescent="0.25">
      <c r="X16" s="13"/>
    </row>
    <row r="17" spans="12:31" ht="15.75" customHeight="1" x14ac:dyDescent="0.25">
      <c r="L17" s="81" t="s">
        <v>52</v>
      </c>
      <c r="M17" s="82"/>
      <c r="N17" s="82"/>
      <c r="O17" s="82"/>
      <c r="P17" s="83"/>
      <c r="Q17" s="84">
        <f>+$O$3*1.15</f>
        <v>14892.499999999998</v>
      </c>
      <c r="R17" s="84"/>
    </row>
    <row r="20" spans="12:31" ht="15.75" thickBot="1" x14ac:dyDescent="0.3">
      <c r="W20" s="2" t="s">
        <v>21</v>
      </c>
      <c r="X20" s="11" t="s">
        <v>22</v>
      </c>
    </row>
    <row r="21" spans="12:31" x14ac:dyDescent="0.25">
      <c r="W21" s="2" t="s">
        <v>24</v>
      </c>
      <c r="X21" s="12">
        <v>4</v>
      </c>
      <c r="Y21" s="4" t="s">
        <v>19</v>
      </c>
      <c r="Z21" s="3">
        <v>50</v>
      </c>
      <c r="AB21" s="59" t="s">
        <v>17</v>
      </c>
      <c r="AC21" s="61" t="s">
        <v>51</v>
      </c>
      <c r="AD21" s="63" t="s">
        <v>33</v>
      </c>
      <c r="AE21" s="66" t="s">
        <v>34</v>
      </c>
    </row>
    <row r="22" spans="12:31" ht="15.75" thickBot="1" x14ac:dyDescent="0.3">
      <c r="W22" s="2" t="s">
        <v>25</v>
      </c>
      <c r="X22" s="12">
        <v>4</v>
      </c>
      <c r="Y22" s="4" t="s">
        <v>19</v>
      </c>
      <c r="Z22" s="3">
        <v>50</v>
      </c>
      <c r="AB22" s="60"/>
      <c r="AC22" s="61"/>
      <c r="AD22" s="64"/>
      <c r="AE22" s="67"/>
    </row>
    <row r="23" spans="12:31" x14ac:dyDescent="0.25">
      <c r="W23" s="2" t="s">
        <v>26</v>
      </c>
      <c r="X23" s="12">
        <v>4</v>
      </c>
      <c r="Y23" s="4" t="s">
        <v>19</v>
      </c>
      <c r="Z23" s="3">
        <v>50</v>
      </c>
      <c r="AB23" s="10" t="s">
        <v>20</v>
      </c>
      <c r="AC23" s="62"/>
      <c r="AD23" s="65"/>
      <c r="AE23" s="68"/>
    </row>
    <row r="24" spans="12:31" x14ac:dyDescent="0.25">
      <c r="W24" s="2" t="s">
        <v>27</v>
      </c>
      <c r="X24" s="12">
        <v>3</v>
      </c>
      <c r="Y24" s="4" t="s">
        <v>19</v>
      </c>
      <c r="Z24" s="3">
        <v>50</v>
      </c>
      <c r="AB24" s="39" t="s">
        <v>39</v>
      </c>
      <c r="AC24" s="41">
        <v>0.25</v>
      </c>
      <c r="AD24" s="40" t="s">
        <v>42</v>
      </c>
      <c r="AE24" s="40">
        <f>2000*AC24</f>
        <v>500</v>
      </c>
    </row>
    <row r="25" spans="12:31" x14ac:dyDescent="0.25">
      <c r="W25" s="2" t="s">
        <v>28</v>
      </c>
      <c r="X25" s="12">
        <v>3</v>
      </c>
      <c r="Y25" s="4" t="s">
        <v>19</v>
      </c>
      <c r="Z25" s="3">
        <v>50</v>
      </c>
      <c r="AB25" s="39" t="s">
        <v>40</v>
      </c>
      <c r="AC25" s="41">
        <v>0.35</v>
      </c>
      <c r="AD25" s="40" t="s">
        <v>43</v>
      </c>
      <c r="AE25" s="40">
        <f>2000*AC25</f>
        <v>700</v>
      </c>
    </row>
    <row r="26" spans="12:31" x14ac:dyDescent="0.25">
      <c r="W26" s="2" t="s">
        <v>29</v>
      </c>
      <c r="X26" s="12">
        <v>3</v>
      </c>
      <c r="Y26" s="4" t="s">
        <v>19</v>
      </c>
      <c r="Z26" s="3">
        <v>50</v>
      </c>
      <c r="AB26" s="39" t="s">
        <v>41</v>
      </c>
      <c r="AC26" s="41">
        <v>0.2</v>
      </c>
      <c r="AD26" s="40" t="s">
        <v>44</v>
      </c>
      <c r="AE26" s="40">
        <f>2000*AC26</f>
        <v>400</v>
      </c>
    </row>
    <row r="27" spans="12:31" x14ac:dyDescent="0.25">
      <c r="W27" s="2" t="s">
        <v>30</v>
      </c>
      <c r="X27" s="12">
        <v>3</v>
      </c>
      <c r="Y27" s="4" t="s">
        <v>19</v>
      </c>
      <c r="Z27" s="3">
        <v>50</v>
      </c>
      <c r="AB27" s="39" t="s">
        <v>45</v>
      </c>
      <c r="AC27" s="41">
        <v>0.2</v>
      </c>
      <c r="AD27" s="40" t="s">
        <v>44</v>
      </c>
      <c r="AE27" s="40">
        <f>2000*AC27</f>
        <v>400</v>
      </c>
    </row>
    <row r="28" spans="12:31" x14ac:dyDescent="0.25">
      <c r="W28" s="2" t="s">
        <v>31</v>
      </c>
      <c r="X28" s="12">
        <v>12</v>
      </c>
      <c r="Y28" s="4" t="s">
        <v>32</v>
      </c>
      <c r="Z28" s="3">
        <v>2000</v>
      </c>
      <c r="AB28" s="69" t="s">
        <v>15</v>
      </c>
      <c r="AC28" s="70"/>
      <c r="AD28" s="70"/>
      <c r="AE28" s="70"/>
    </row>
    <row r="29" spans="12:31" ht="15.75" thickBot="1" x14ac:dyDescent="0.3">
      <c r="AB29" s="9" t="str">
        <f>+W10</f>
        <v xml:space="preserve">Área Metropolitana San José (AMSJ) </v>
      </c>
      <c r="AC29" s="42">
        <v>0.2</v>
      </c>
      <c r="AD29" s="40" t="s">
        <v>44</v>
      </c>
      <c r="AE29" s="40">
        <f>2000*AC29</f>
        <v>400</v>
      </c>
    </row>
    <row r="30" spans="12:31" ht="15.75" thickBot="1" x14ac:dyDescent="0.3">
      <c r="AB30" s="9" t="str">
        <f t="shared" ref="AB30:AB31" si="1">+W11</f>
        <v xml:space="preserve">Gran Área Metropolitana (GAM) </v>
      </c>
      <c r="AC30" s="41">
        <v>0.5</v>
      </c>
      <c r="AD30" s="40" t="s">
        <v>46</v>
      </c>
      <c r="AE30" s="40">
        <f>2000*AC30</f>
        <v>1000</v>
      </c>
    </row>
    <row r="31" spans="12:31" ht="15.75" thickBot="1" x14ac:dyDescent="0.3">
      <c r="AB31" s="9" t="str">
        <f t="shared" si="1"/>
        <v xml:space="preserve">Resto del país </v>
      </c>
      <c r="AC31" s="41">
        <v>0.3</v>
      </c>
      <c r="AD31" s="40" t="s">
        <v>47</v>
      </c>
      <c r="AE31" s="40">
        <f>2000*AC31</f>
        <v>600</v>
      </c>
    </row>
  </sheetData>
  <mergeCells count="11">
    <mergeCell ref="C1:P1"/>
    <mergeCell ref="W7:AA7"/>
    <mergeCell ref="W8:W9"/>
    <mergeCell ref="X8:AA8"/>
    <mergeCell ref="L17:P17"/>
    <mergeCell ref="Q17:R17"/>
    <mergeCell ref="AB21:AB22"/>
    <mergeCell ref="AC21:AC23"/>
    <mergeCell ref="AD21:AD23"/>
    <mergeCell ref="AE21:AE23"/>
    <mergeCell ref="AB28:AE28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SOLVER F)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Karla Bricelda Aguilar González</dc:creator>
  <cp:keywords/>
  <dc:description/>
  <cp:lastModifiedBy>ANTONIO</cp:lastModifiedBy>
  <cp:revision/>
  <dcterms:created xsi:type="dcterms:W3CDTF">2022-07-12T19:46:09Z</dcterms:created>
  <dcterms:modified xsi:type="dcterms:W3CDTF">2025-07-05T19:21:42Z</dcterms:modified>
  <cp:category/>
  <cp:contentStatus/>
</cp:coreProperties>
</file>