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esktop\II CUATRI 2025\OPERACIONES\MATERIALES\II_CUATRI\TAREA #2\"/>
    </mc:Choice>
  </mc:AlternateContent>
  <xr:revisionPtr revIDLastSave="0" documentId="13_ncr:1_{374AE614-D30B-42C2-A5E0-46B4CCFB56F6}" xr6:coauthVersionLast="47" xr6:coauthVersionMax="47" xr10:uidLastSave="{00000000-0000-0000-0000-000000000000}"/>
  <bookViews>
    <workbookView xWindow="-120" yWindow="-120" windowWidth="29040" windowHeight="15720" xr2:uid="{91BFE793-B299-48EF-9134-79AEED5C9B50}"/>
  </bookViews>
  <sheets>
    <sheet name="Exercise1" sheetId="1" r:id="rId1"/>
    <sheet name="SOLVER" sheetId="6" r:id="rId2"/>
    <sheet name="Exercise2" sheetId="2" r:id="rId3"/>
  </sheets>
  <definedNames>
    <definedName name="solver_adj" localSheetId="0" hidden="1">Exercise1!$C$3:$N$3</definedName>
    <definedName name="solver_adj" localSheetId="1" hidden="1">SOLVER!$C$3:$N$3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Exercise1!$O$13</definedName>
    <definedName name="solver_lhs1" localSheetId="1" hidden="1">SOLVER!$O$13</definedName>
    <definedName name="solver_lhs2" localSheetId="0" hidden="1">Exercise1!$O$6:$O$12</definedName>
    <definedName name="solver_lhs2" localSheetId="1" hidden="1">SOLVER!$O$6:$O$12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2</definedName>
    <definedName name="solver_num" localSheetId="1" hidden="1">2</definedName>
    <definedName name="solver_nwt" localSheetId="0" hidden="1">1</definedName>
    <definedName name="solver_nwt" localSheetId="1" hidden="1">1</definedName>
    <definedName name="solver_opt" localSheetId="0" hidden="1">Exercise1!$O$3</definedName>
    <definedName name="solver_opt" localSheetId="1" hidden="1">SOLVER!$O$3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2</definedName>
    <definedName name="solver_rel1" localSheetId="1" hidden="1">2</definedName>
    <definedName name="solver_rel2" localSheetId="0" hidden="1">3</definedName>
    <definedName name="solver_rel2" localSheetId="1" hidden="1">3</definedName>
    <definedName name="solver_rhs1" localSheetId="0" hidden="1">Exercise1!$Q$13</definedName>
    <definedName name="solver_rhs1" localSheetId="1" hidden="1">SOLVER!$Q$13</definedName>
    <definedName name="solver_rhs2" localSheetId="0" hidden="1">Exercise1!$Q$6:$Q$12</definedName>
    <definedName name="solver_rhs2" localSheetId="1" hidden="1">SOLVER!$Q$6:$Q$12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3" i="6" l="1"/>
  <c r="O3" i="1"/>
  <c r="O9" i="1"/>
  <c r="O7" i="1"/>
  <c r="O6" i="1"/>
  <c r="AG25" i="1"/>
  <c r="AG28" i="1"/>
  <c r="AG29" i="1"/>
  <c r="AG30" i="1"/>
  <c r="AG31" i="1"/>
  <c r="AG32" i="1"/>
  <c r="AG33" i="1"/>
  <c r="AG34" i="1"/>
  <c r="AG35" i="1"/>
  <c r="Y20" i="1"/>
  <c r="AH13" i="1"/>
  <c r="AH12" i="1"/>
  <c r="AF14" i="1"/>
  <c r="AF12" i="1"/>
  <c r="O21" i="6"/>
  <c r="O6" i="6"/>
  <c r="O28" i="6"/>
  <c r="O27" i="6"/>
  <c r="O26" i="6"/>
  <c r="O25" i="6"/>
  <c r="O24" i="6"/>
  <c r="O23" i="6"/>
  <c r="O22" i="6"/>
  <c r="O18" i="6"/>
  <c r="O13" i="6" l="1"/>
  <c r="O12" i="6"/>
  <c r="O11" i="6"/>
  <c r="O10" i="6"/>
  <c r="O9" i="6"/>
  <c r="O8" i="6"/>
  <c r="O7" i="6"/>
  <c r="G28" i="1"/>
  <c r="G27" i="1"/>
  <c r="G26" i="1"/>
  <c r="G24" i="1"/>
  <c r="G23" i="1"/>
  <c r="G22" i="1"/>
  <c r="G21" i="1"/>
  <c r="AQ6" i="1"/>
  <c r="N14" i="2"/>
  <c r="N15" i="2"/>
  <c r="N16" i="2"/>
  <c r="N17" i="2"/>
  <c r="AL12" i="1"/>
  <c r="Y17" i="1"/>
  <c r="AT7" i="1"/>
  <c r="AT8" i="1"/>
  <c r="AT6" i="1"/>
  <c r="AQ7" i="1"/>
  <c r="AQ8" i="1"/>
  <c r="AQ9" i="1"/>
  <c r="AH14" i="1"/>
  <c r="AL13" i="1"/>
  <c r="AL14" i="1"/>
  <c r="AJ13" i="1"/>
  <c r="AJ14" i="1"/>
  <c r="AJ12" i="1"/>
  <c r="AF13" i="1"/>
  <c r="O8" i="1"/>
  <c r="O10" i="1"/>
  <c r="O11" i="1"/>
  <c r="O12" i="1"/>
  <c r="O13" i="1"/>
  <c r="AG15" i="1"/>
  <c r="AI15" i="1"/>
  <c r="AK15" i="1"/>
  <c r="AE15" i="1"/>
  <c r="N7" i="2"/>
  <c r="N6" i="2"/>
  <c r="N3" i="2"/>
  <c r="N4" i="2"/>
  <c r="N11" i="2"/>
  <c r="N10" i="2"/>
  <c r="N9" i="2"/>
  <c r="N8" i="2"/>
  <c r="N5" i="2"/>
  <c r="AL15" i="1" l="1"/>
  <c r="AH15" i="1"/>
  <c r="AF15" i="1"/>
  <c r="AJ15" i="1"/>
</calcChain>
</file>

<file path=xl/sharedStrings.xml><?xml version="1.0" encoding="utf-8"?>
<sst xmlns="http://schemas.openxmlformats.org/spreadsheetml/2006/main" count="328" uniqueCount="106">
  <si>
    <t>X11</t>
  </si>
  <si>
    <t>X12</t>
  </si>
  <si>
    <t>X13</t>
  </si>
  <si>
    <t>X14</t>
  </si>
  <si>
    <t>X21</t>
  </si>
  <si>
    <t>X22</t>
  </si>
  <si>
    <t>X23</t>
  </si>
  <si>
    <t>X24</t>
  </si>
  <si>
    <t>X31</t>
  </si>
  <si>
    <t>X32</t>
  </si>
  <si>
    <t>X33</t>
  </si>
  <si>
    <t>X34</t>
  </si>
  <si>
    <t>Z</t>
  </si>
  <si>
    <t>Números de personas pertenecientes a la región</t>
  </si>
  <si>
    <t>Número de personas pertenecientes al grupo de Edad</t>
  </si>
  <si>
    <t>Cantidad mínima de personas agrupadas por edad</t>
  </si>
  <si>
    <t>Cantidad mínima de personas a entrevistar</t>
  </si>
  <si>
    <t>Variables Rango años, localidad y costo en dólares</t>
  </si>
  <si>
    <t>Porcentajes mínimos por variable</t>
  </si>
  <si>
    <t>Valor decimal de la poblacion a entrevistar de los 2000 (fórmula: 2000*porcentaje) Ej: 2000*20%=400</t>
  </si>
  <si>
    <t>Solución Óptima</t>
  </si>
  <si>
    <t>18 a 25</t>
  </si>
  <si>
    <t>26 a 40</t>
  </si>
  <si>
    <t>41 a 50</t>
  </si>
  <si>
    <t>51 o más</t>
  </si>
  <si>
    <t>Región</t>
  </si>
  <si>
    <t>Grupo de Edad</t>
  </si>
  <si>
    <t>Población</t>
  </si>
  <si>
    <t>%</t>
  </si>
  <si>
    <t>Coeficientes</t>
  </si>
  <si>
    <t>Región Oriental</t>
  </si>
  <si>
    <t>&gt;=</t>
  </si>
  <si>
    <t>18-25</t>
  </si>
  <si>
    <t>26-40</t>
  </si>
  <si>
    <t>41-50</t>
  </si>
  <si>
    <t>Grupo de edad</t>
  </si>
  <si>
    <t xml:space="preserve">Al menos  </t>
  </si>
  <si>
    <t>Restricciones</t>
  </si>
  <si>
    <t>LHS</t>
  </si>
  <si>
    <t>RHS</t>
  </si>
  <si>
    <t>Región Central</t>
  </si>
  <si>
    <t>Oriental</t>
  </si>
  <si>
    <t>∑X1j</t>
  </si>
  <si>
    <t>Región Occidental</t>
  </si>
  <si>
    <t>Central</t>
  </si>
  <si>
    <t>∑X2j</t>
  </si>
  <si>
    <t>Número total de personas agrupadas por edad</t>
  </si>
  <si>
    <t>Occidental</t>
  </si>
  <si>
    <t>∑X3j</t>
  </si>
  <si>
    <t>∑Xi1</t>
  </si>
  <si>
    <t>∑Xi2</t>
  </si>
  <si>
    <t>Costos de grupo por Edad (dólares)</t>
  </si>
  <si>
    <t>∑Xi3</t>
  </si>
  <si>
    <t>Costo en $</t>
  </si>
  <si>
    <t>∑Xi4</t>
  </si>
  <si>
    <t>∑∑Xij</t>
  </si>
  <si>
    <t>=</t>
  </si>
  <si>
    <t>TOTALES</t>
  </si>
  <si>
    <t>Cálculo</t>
  </si>
  <si>
    <t>Al menos</t>
  </si>
  <si>
    <t>2000*20.0%</t>
  </si>
  <si>
    <t>2000*27.5%</t>
  </si>
  <si>
    <t>2000*15.0%</t>
  </si>
  <si>
    <t>50 o más</t>
  </si>
  <si>
    <t>2000*35.0%</t>
  </si>
  <si>
    <t>CON SOLVER</t>
  </si>
  <si>
    <t xml:space="preserve">≥ </t>
  </si>
  <si>
    <t>SIN SOLVER</t>
  </si>
  <si>
    <t>Recursos</t>
  </si>
  <si>
    <t>V-Twin 883 c.c (X)</t>
  </si>
  <si>
    <t>V-Twin Deluxe 1300 c.c (Y)</t>
  </si>
  <si>
    <t>Cantidad de recursos disponibles</t>
  </si>
  <si>
    <t>Punto</t>
  </si>
  <si>
    <t>X</t>
  </si>
  <si>
    <t>Y</t>
  </si>
  <si>
    <t>Zmax=((3600)*x)+((5400)*y)</t>
  </si>
  <si>
    <t>Valor de la función objetivo (Z)</t>
  </si>
  <si>
    <t>Horas trabajo</t>
  </si>
  <si>
    <t>((3600)*0)+((5400)*0)</t>
  </si>
  <si>
    <t>Número de parlantes</t>
  </si>
  <si>
    <t>((3600)*0)+((5400)*4571.4285714286)</t>
  </si>
  <si>
    <t>Ventas</t>
  </si>
  <si>
    <t>((3600)*8000)+((5400)*0)</t>
  </si>
  <si>
    <t>Ganancia ($)</t>
  </si>
  <si>
    <t>((3600)*3800)+((5400)*2400)</t>
  </si>
  <si>
    <t>((3600)*3500)+((5400)*2571.4285714286)</t>
  </si>
  <si>
    <t>Variables del modelo</t>
  </si>
  <si>
    <t>((3600)*0)+((5400)*10000)</t>
  </si>
  <si>
    <t>Número de motocicletas V-twin 883 c.c producidas</t>
  </si>
  <si>
    <t>((3600)*5000)+((5400)*0)</t>
  </si>
  <si>
    <t>Número de motocicletas V-twin Deluxe 1300 c.c producidas</t>
  </si>
  <si>
    <t>((3600)*3500)+((5400)*3000)</t>
  </si>
  <si>
    <t>((3600)*3500)+((5400)*0)</t>
  </si>
  <si>
    <t>Vamos a determinar los valores x y de y que maximizan la ganancia neta total.</t>
  </si>
  <si>
    <t>Z= 3600x + 5400y</t>
  </si>
  <si>
    <t>A</t>
  </si>
  <si>
    <t>R1</t>
  </si>
  <si>
    <t>B</t>
  </si>
  <si>
    <t>6x+10.5y &lt;= 48 000</t>
  </si>
  <si>
    <t>C</t>
  </si>
  <si>
    <t>4x+2y &lt;=20 000</t>
  </si>
  <si>
    <t>D</t>
  </si>
  <si>
    <t>x&lt;=3500</t>
  </si>
  <si>
    <t>x&gt;=0; y&gt;=0</t>
  </si>
  <si>
    <t>R2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</si>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</sst>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&quot;$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0"/>
      <name val="Calibri"/>
      <family val="2"/>
      <scheme val="minor"/>
    </font>
    <font>
      <sz val="12"/>
      <color theme="1"/>
      <name val="Arial"/>
      <family val="2"/>
    </font>
    <font>
      <b/>
      <sz val="11"/>
      <color rgb="FFFFFFFF"/>
      <name val="Arial"/>
      <family val="2"/>
    </font>
    <font>
      <sz val="11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EE7E5"/>
        <bgColor rgb="FFDEE7E5"/>
      </patternFill>
    </fill>
    <fill>
      <patternFill patternType="solid">
        <fgColor rgb="FFDDE8CB"/>
        <bgColor rgb="FFDDE8CB"/>
      </patternFill>
    </fill>
    <fill>
      <patternFill patternType="solid">
        <fgColor rgb="FFFFDBB6"/>
        <bgColor rgb="FFFFDBB6"/>
      </patternFill>
    </fill>
    <fill>
      <patternFill patternType="solid">
        <fgColor rgb="FFB4C7DC"/>
        <bgColor rgb="FFB4C7DC"/>
      </patternFill>
    </fill>
    <fill>
      <patternFill patternType="solid">
        <fgColor rgb="FFE0C2CD"/>
        <bgColor rgb="FFE0C2CD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C99FF"/>
        <bgColor rgb="FFDEE7E5"/>
      </patternFill>
    </fill>
    <fill>
      <patternFill patternType="solid">
        <fgColor theme="9" tint="-0.249977111117893"/>
        <bgColor rgb="FFB4C7DC"/>
      </patternFill>
    </fill>
    <fill>
      <patternFill patternType="solid">
        <fgColor theme="9" tint="0.39997558519241921"/>
        <bgColor rgb="FFE0C2CD"/>
      </patternFill>
    </fill>
    <fill>
      <patternFill patternType="solid">
        <fgColor rgb="FF00FF00"/>
        <bgColor rgb="FFB4C7DC"/>
      </patternFill>
    </fill>
    <fill>
      <patternFill patternType="solid">
        <fgColor rgb="FF3A383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49998474074526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1">
    <xf numFmtId="0" fontId="0" fillId="0" borderId="0" xfId="0"/>
    <xf numFmtId="0" fontId="0" fillId="0" borderId="1" xfId="0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/>
    </xf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wrapText="1"/>
    </xf>
    <xf numFmtId="0" fontId="4" fillId="2" borderId="1" xfId="0" applyFont="1" applyFill="1" applyBorder="1"/>
    <xf numFmtId="164" fontId="5" fillId="0" borderId="1" xfId="1" applyFont="1" applyFill="1" applyBorder="1"/>
    <xf numFmtId="0" fontId="5" fillId="0" borderId="0" xfId="0" applyFont="1"/>
    <xf numFmtId="0" fontId="2" fillId="0" borderId="0" xfId="0" applyFont="1" applyAlignment="1">
      <alignment horizontal="center"/>
    </xf>
    <xf numFmtId="0" fontId="7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2" fillId="11" borderId="1" xfId="0" applyFont="1" applyFill="1" applyBorder="1"/>
    <xf numFmtId="0" fontId="0" fillId="11" borderId="1" xfId="0" applyFill="1" applyBorder="1" applyAlignment="1">
      <alignment horizontal="center"/>
    </xf>
    <xf numFmtId="0" fontId="0" fillId="12" borderId="1" xfId="0" applyFill="1" applyBorder="1"/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7" borderId="1" xfId="0" applyFill="1" applyBorder="1"/>
    <xf numFmtId="0" fontId="0" fillId="18" borderId="5" xfId="0" applyFill="1" applyBorder="1" applyAlignment="1">
      <alignment horizontal="center" vertical="center" wrapText="1"/>
    </xf>
    <xf numFmtId="0" fontId="0" fillId="15" borderId="5" xfId="0" applyFill="1" applyBorder="1" applyAlignment="1">
      <alignment horizontal="center" vertical="center" wrapText="1"/>
    </xf>
    <xf numFmtId="0" fontId="0" fillId="16" borderId="5" xfId="0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15" borderId="9" xfId="0" applyFill="1" applyBorder="1" applyAlignment="1">
      <alignment horizontal="center" vertical="center" wrapText="1"/>
    </xf>
    <xf numFmtId="0" fontId="0" fillId="16" borderId="10" xfId="0" applyFill="1" applyBorder="1" applyAlignment="1">
      <alignment horizontal="center" vertical="center" wrapText="1"/>
    </xf>
    <xf numFmtId="0" fontId="2" fillId="19" borderId="5" xfId="0" applyFont="1" applyFill="1" applyBorder="1" applyAlignment="1">
      <alignment horizontal="center" vertical="center" wrapText="1"/>
    </xf>
    <xf numFmtId="0" fontId="2" fillId="22" borderId="1" xfId="0" applyFont="1" applyFill="1" applyBorder="1"/>
    <xf numFmtId="9" fontId="0" fillId="0" borderId="1" xfId="2" applyFont="1" applyBorder="1" applyAlignment="1">
      <alignment horizontal="right"/>
    </xf>
    <xf numFmtId="0" fontId="2" fillId="21" borderId="1" xfId="0" applyFont="1" applyFill="1" applyBorder="1" applyAlignment="1">
      <alignment vertical="center"/>
    </xf>
    <xf numFmtId="0" fontId="2" fillId="22" borderId="1" xfId="0" applyFont="1" applyFill="1" applyBorder="1" applyAlignment="1">
      <alignment vertical="center"/>
    </xf>
    <xf numFmtId="164" fontId="1" fillId="0" borderId="1" xfId="1" applyFont="1" applyBorder="1" applyAlignment="1">
      <alignment vertical="center"/>
    </xf>
    <xf numFmtId="0" fontId="2" fillId="0" borderId="0" xfId="0" applyFont="1" applyAlignment="1">
      <alignment vertical="center"/>
    </xf>
    <xf numFmtId="164" fontId="1" fillId="0" borderId="0" xfId="1" applyFont="1" applyFill="1" applyBorder="1" applyAlignment="1">
      <alignment vertical="center"/>
    </xf>
    <xf numFmtId="0" fontId="10" fillId="20" borderId="12" xfId="0" applyFont="1" applyFill="1" applyBorder="1" applyAlignment="1">
      <alignment vertical="center"/>
    </xf>
    <xf numFmtId="0" fontId="10" fillId="24" borderId="1" xfId="0" applyFont="1" applyFill="1" applyBorder="1" applyAlignment="1">
      <alignment vertical="center"/>
    </xf>
    <xf numFmtId="10" fontId="0" fillId="0" borderId="1" xfId="2" applyNumberFormat="1" applyFont="1" applyBorder="1" applyAlignment="1">
      <alignment horizontal="right"/>
    </xf>
    <xf numFmtId="0" fontId="10" fillId="26" borderId="12" xfId="0" applyFont="1" applyFill="1" applyBorder="1" applyAlignment="1">
      <alignment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center"/>
    </xf>
    <xf numFmtId="0" fontId="0" fillId="0" borderId="1" xfId="2" applyNumberFormat="1" applyFont="1" applyBorder="1" applyAlignment="1">
      <alignment horizontal="right"/>
    </xf>
    <xf numFmtId="0" fontId="0" fillId="27" borderId="5" xfId="0" applyFill="1" applyBorder="1" applyAlignment="1">
      <alignment horizontal="center" vertical="center" wrapText="1"/>
    </xf>
    <xf numFmtId="0" fontId="2" fillId="17" borderId="5" xfId="0" applyFont="1" applyFill="1" applyBorder="1" applyAlignment="1">
      <alignment horizontal="center" vertical="center" wrapText="1"/>
    </xf>
    <xf numFmtId="0" fontId="2" fillId="15" borderId="5" xfId="0" applyFont="1" applyFill="1" applyBorder="1" applyAlignment="1">
      <alignment horizontal="center" vertical="center" wrapText="1"/>
    </xf>
    <xf numFmtId="0" fontId="2" fillId="16" borderId="5" xfId="0" applyFont="1" applyFill="1" applyBorder="1" applyAlignment="1">
      <alignment horizontal="center" vertical="center" wrapText="1"/>
    </xf>
    <xf numFmtId="0" fontId="2" fillId="14" borderId="5" xfId="0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horizontal="center" vertical="center" wrapText="1"/>
    </xf>
    <xf numFmtId="164" fontId="0" fillId="29" borderId="5" xfId="0" applyNumberFormat="1" applyFill="1" applyBorder="1" applyAlignment="1">
      <alignment horizontal="center" vertical="center" wrapText="1"/>
    </xf>
    <xf numFmtId="0" fontId="0" fillId="18" borderId="15" xfId="0" applyFill="1" applyBorder="1" applyAlignment="1">
      <alignment horizontal="center" vertical="center" wrapText="1"/>
    </xf>
    <xf numFmtId="0" fontId="2" fillId="30" borderId="1" xfId="0" applyFont="1" applyFill="1" applyBorder="1" applyAlignment="1">
      <alignment horizontal="center" vertical="center" wrapText="1"/>
    </xf>
    <xf numFmtId="164" fontId="0" fillId="7" borderId="1" xfId="1" applyFont="1" applyFill="1" applyBorder="1"/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165" fontId="0" fillId="7" borderId="1" xfId="0" applyNumberFormat="1" applyFill="1" applyBorder="1"/>
    <xf numFmtId="0" fontId="0" fillId="18" borderId="8" xfId="0" applyFill="1" applyBorder="1" applyAlignment="1">
      <alignment horizontal="center" vertical="center" wrapText="1"/>
    </xf>
    <xf numFmtId="164" fontId="0" fillId="29" borderId="8" xfId="0" applyNumberFormat="1" applyFill="1" applyBorder="1" applyAlignment="1">
      <alignment horizontal="center" vertical="center" wrapText="1"/>
    </xf>
    <xf numFmtId="0" fontId="0" fillId="14" borderId="5" xfId="1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justify" vertical="center" wrapText="1"/>
    </xf>
    <xf numFmtId="0" fontId="0" fillId="0" borderId="0" xfId="0" applyAlignment="1">
      <alignment vertical="center" wrapText="1"/>
    </xf>
    <xf numFmtId="0" fontId="6" fillId="33" borderId="22" xfId="0" applyFont="1" applyFill="1" applyBorder="1" applyAlignment="1">
      <alignment horizontal="left" vertical="center"/>
    </xf>
    <xf numFmtId="0" fontId="6" fillId="35" borderId="22" xfId="0" applyFont="1" applyFill="1" applyBorder="1" applyAlignment="1">
      <alignment horizontal="left" vertical="center"/>
    </xf>
    <xf numFmtId="9" fontId="7" fillId="0" borderId="25" xfId="0" applyNumberFormat="1" applyFont="1" applyBorder="1" applyAlignment="1">
      <alignment horizontal="right" vertical="center"/>
    </xf>
    <xf numFmtId="10" fontId="7" fillId="0" borderId="25" xfId="0" applyNumberFormat="1" applyFont="1" applyBorder="1" applyAlignment="1">
      <alignment horizontal="right" vertical="center"/>
    </xf>
    <xf numFmtId="9" fontId="7" fillId="0" borderId="25" xfId="2" applyFont="1" applyBorder="1" applyAlignment="1">
      <alignment horizontal="right" vertical="center"/>
    </xf>
    <xf numFmtId="0" fontId="6" fillId="33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6" fillId="35" borderId="1" xfId="0" applyFont="1" applyFill="1" applyBorder="1" applyAlignment="1">
      <alignment horizontal="left" vertical="center"/>
    </xf>
    <xf numFmtId="0" fontId="12" fillId="32" borderId="1" xfId="0" applyFont="1" applyFill="1" applyBorder="1" applyAlignment="1">
      <alignment vertical="center"/>
    </xf>
    <xf numFmtId="0" fontId="12" fillId="34" borderId="2" xfId="0" applyFont="1" applyFill="1" applyBorder="1" applyAlignment="1">
      <alignment vertical="center"/>
    </xf>
    <xf numFmtId="0" fontId="12" fillId="34" borderId="4" xfId="0" applyFont="1" applyFill="1" applyBorder="1" applyAlignment="1">
      <alignment vertical="center"/>
    </xf>
    <xf numFmtId="2" fontId="0" fillId="12" borderId="1" xfId="3" applyNumberFormat="1" applyFont="1" applyFill="1" applyBorder="1" applyAlignment="1">
      <alignment horizontal="center" vertical="center"/>
    </xf>
    <xf numFmtId="0" fontId="2" fillId="17" borderId="8" xfId="0" applyFont="1" applyFill="1" applyBorder="1" applyAlignment="1">
      <alignment horizontal="left" vertical="center" wrapText="1"/>
    </xf>
    <xf numFmtId="0" fontId="2" fillId="17" borderId="5" xfId="0" applyFont="1" applyFill="1" applyBorder="1" applyAlignment="1">
      <alignment horizontal="left" vertical="center" wrapText="1"/>
    </xf>
    <xf numFmtId="0" fontId="2" fillId="17" borderId="15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37" borderId="1" xfId="0" applyFont="1" applyFill="1" applyBorder="1"/>
    <xf numFmtId="0" fontId="0" fillId="37" borderId="1" xfId="0" applyFill="1" applyBorder="1"/>
    <xf numFmtId="0" fontId="0" fillId="37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/>
    </xf>
    <xf numFmtId="0" fontId="13" fillId="3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39" borderId="1" xfId="0" applyFill="1" applyBorder="1" applyAlignment="1">
      <alignment horizontal="center" vertical="center"/>
    </xf>
    <xf numFmtId="0" fontId="0" fillId="36" borderId="0" xfId="0" applyFill="1" applyAlignment="1">
      <alignment horizontal="center"/>
    </xf>
    <xf numFmtId="0" fontId="10" fillId="25" borderId="0" xfId="0" applyFont="1" applyFill="1" applyAlignment="1">
      <alignment horizontal="center" vertical="center" wrapText="1"/>
    </xf>
    <xf numFmtId="0" fontId="10" fillId="25" borderId="17" xfId="0" applyFont="1" applyFill="1" applyBorder="1" applyAlignment="1">
      <alignment horizontal="center" vertical="center" wrapText="1"/>
    </xf>
    <xf numFmtId="0" fontId="10" fillId="26" borderId="11" xfId="0" applyFont="1" applyFill="1" applyBorder="1" applyAlignment="1">
      <alignment horizontal="center" vertical="center" wrapText="1"/>
    </xf>
    <xf numFmtId="0" fontId="10" fillId="26" borderId="12" xfId="0" applyFont="1" applyFill="1" applyBorder="1" applyAlignment="1">
      <alignment horizontal="center" vertical="center" wrapText="1"/>
    </xf>
    <xf numFmtId="0" fontId="10" fillId="26" borderId="13" xfId="0" applyFont="1" applyFill="1" applyBorder="1" applyAlignment="1">
      <alignment horizontal="center" vertical="center"/>
    </xf>
    <xf numFmtId="0" fontId="10" fillId="26" borderId="12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16" borderId="13" xfId="0" applyFont="1" applyFill="1" applyBorder="1" applyAlignment="1">
      <alignment horizontal="center" vertical="center" wrapText="1"/>
    </xf>
    <xf numFmtId="0" fontId="2" fillId="16" borderId="12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10" fillId="20" borderId="13" xfId="0" applyFont="1" applyFill="1" applyBorder="1" applyAlignment="1">
      <alignment horizontal="center" vertical="center"/>
    </xf>
    <xf numFmtId="0" fontId="10" fillId="20" borderId="12" xfId="0" applyFont="1" applyFill="1" applyBorder="1" applyAlignment="1">
      <alignment horizontal="center" vertical="center"/>
    </xf>
    <xf numFmtId="0" fontId="10" fillId="20" borderId="2" xfId="0" applyFont="1" applyFill="1" applyBorder="1" applyAlignment="1">
      <alignment horizontal="center" vertical="center"/>
    </xf>
    <xf numFmtId="0" fontId="10" fillId="20" borderId="4" xfId="0" applyFont="1" applyFill="1" applyBorder="1" applyAlignment="1">
      <alignment horizontal="center" vertical="center"/>
    </xf>
    <xf numFmtId="0" fontId="10" fillId="20" borderId="3" xfId="0" applyFont="1" applyFill="1" applyBorder="1" applyAlignment="1">
      <alignment horizontal="center" vertical="center"/>
    </xf>
    <xf numFmtId="0" fontId="10" fillId="23" borderId="16" xfId="0" applyFont="1" applyFill="1" applyBorder="1" applyAlignment="1">
      <alignment horizontal="center" vertical="center"/>
    </xf>
    <xf numFmtId="0" fontId="10" fillId="23" borderId="1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0" fontId="2" fillId="14" borderId="15" xfId="0" applyFont="1" applyFill="1" applyBorder="1" applyAlignment="1">
      <alignment horizontal="center" vertical="center" wrapText="1"/>
    </xf>
    <xf numFmtId="0" fontId="2" fillId="14" borderId="8" xfId="0" applyFont="1" applyFill="1" applyBorder="1" applyAlignment="1">
      <alignment horizontal="center" vertical="center" wrapText="1"/>
    </xf>
    <xf numFmtId="0" fontId="10" fillId="20" borderId="13" xfId="0" applyFont="1" applyFill="1" applyBorder="1" applyAlignment="1">
      <alignment horizontal="center" vertical="center" wrapText="1"/>
    </xf>
    <xf numFmtId="0" fontId="10" fillId="20" borderId="12" xfId="0" applyFont="1" applyFill="1" applyBorder="1" applyAlignment="1">
      <alignment horizontal="center" vertical="center" wrapText="1"/>
    </xf>
    <xf numFmtId="0" fontId="2" fillId="15" borderId="19" xfId="0" applyFont="1" applyFill="1" applyBorder="1" applyAlignment="1">
      <alignment horizontal="center" vertical="center" wrapText="1"/>
    </xf>
    <xf numFmtId="0" fontId="2" fillId="15" borderId="20" xfId="0" applyFont="1" applyFill="1" applyBorder="1" applyAlignment="1">
      <alignment horizontal="center" vertical="center" wrapText="1"/>
    </xf>
    <xf numFmtId="0" fontId="2" fillId="14" borderId="5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12" fillId="31" borderId="29" xfId="0" applyFont="1" applyFill="1" applyBorder="1" applyAlignment="1">
      <alignment horizontal="center" vertical="center" wrapText="1"/>
    </xf>
    <xf numFmtId="0" fontId="12" fillId="31" borderId="30" xfId="0" applyFont="1" applyFill="1" applyBorder="1" applyAlignment="1">
      <alignment horizontal="center" vertical="center" wrapText="1"/>
    </xf>
    <xf numFmtId="0" fontId="12" fillId="31" borderId="16" xfId="0" applyFont="1" applyFill="1" applyBorder="1" applyAlignment="1">
      <alignment horizontal="center" vertical="center" wrapText="1"/>
    </xf>
    <xf numFmtId="0" fontId="12" fillId="31" borderId="13" xfId="0" applyFont="1" applyFill="1" applyBorder="1" applyAlignment="1">
      <alignment horizontal="center" vertical="center" wrapText="1"/>
    </xf>
    <xf numFmtId="0" fontId="12" fillId="31" borderId="11" xfId="0" applyFont="1" applyFill="1" applyBorder="1" applyAlignment="1">
      <alignment horizontal="center" vertical="center" wrapText="1"/>
    </xf>
    <xf numFmtId="0" fontId="12" fillId="31" borderId="12" xfId="0" applyFont="1" applyFill="1" applyBorder="1" applyAlignment="1">
      <alignment horizontal="center" vertical="center" wrapText="1"/>
    </xf>
    <xf numFmtId="0" fontId="12" fillId="32" borderId="23" xfId="0" applyFont="1" applyFill="1" applyBorder="1" applyAlignment="1">
      <alignment horizontal="left" vertical="center"/>
    </xf>
    <xf numFmtId="0" fontId="12" fillId="32" borderId="24" xfId="0" applyFont="1" applyFill="1" applyBorder="1" applyAlignment="1">
      <alignment horizontal="left" vertical="center"/>
    </xf>
    <xf numFmtId="0" fontId="12" fillId="34" borderId="27" xfId="0" applyFont="1" applyFill="1" applyBorder="1" applyAlignment="1">
      <alignment horizontal="left" vertical="center"/>
    </xf>
    <xf numFmtId="0" fontId="12" fillId="34" borderId="28" xfId="0" applyFont="1" applyFill="1" applyBorder="1" applyAlignment="1">
      <alignment horizontal="left" vertical="center"/>
    </xf>
    <xf numFmtId="0" fontId="12" fillId="31" borderId="21" xfId="0" applyFont="1" applyFill="1" applyBorder="1" applyAlignment="1">
      <alignment horizontal="center" vertical="center" wrapText="1"/>
    </xf>
    <xf numFmtId="0" fontId="12" fillId="31" borderId="26" xfId="0" applyFont="1" applyFill="1" applyBorder="1" applyAlignment="1">
      <alignment horizontal="center" vertical="center" wrapText="1"/>
    </xf>
    <xf numFmtId="0" fontId="12" fillId="31" borderId="1" xfId="0" applyFont="1" applyFill="1" applyBorder="1" applyAlignment="1">
      <alignment horizontal="center" vertical="center"/>
    </xf>
    <xf numFmtId="0" fontId="12" fillId="31" borderId="21" xfId="0" applyFont="1" applyFill="1" applyBorder="1" applyAlignment="1">
      <alignment horizontal="center" vertical="center"/>
    </xf>
    <xf numFmtId="0" fontId="12" fillId="31" borderId="22" xfId="0" applyFont="1" applyFill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FF00"/>
      <color rgb="FF9966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167024</xdr:colOff>
      <xdr:row>21</xdr:row>
      <xdr:rowOff>15240</xdr:rowOff>
    </xdr:from>
    <xdr:to>
      <xdr:col>3</xdr:col>
      <xdr:colOff>184826</xdr:colOff>
      <xdr:row>36</xdr:row>
      <xdr:rowOff>22860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F2CAEA-6F29-AECD-5C20-71B55C4A6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024" y="4533900"/>
          <a:ext cx="2212362" cy="2750820"/>
        </a:xfrm>
        <a:prstGeom prst="rect">
          <a:avLst/>
        </a:prstGeom>
        <a:ln w="28575">
          <a:solidFill>
            <a:srgbClr val="006600"/>
          </a:solidFill>
        </a:ln>
      </xdr:spPr>
    </xdr:pic>
    <xdr:clientData/>
  </xdr:twoCellAnchor>
  <xdr:twoCellAnchor editAs="oneCell">
    <xdr:from>
      <xdr:col>3</xdr:col>
      <xdr:colOff>784860</xdr:colOff>
      <xdr:row>28</xdr:row>
      <xdr:rowOff>27434</xdr:rowOff>
    </xdr:from>
    <xdr:to>
      <xdr:col>6</xdr:col>
      <xdr:colOff>439419</xdr:colOff>
      <xdr:row>41</xdr:row>
      <xdr:rowOff>135889</xdr:rowOff>
    </xdr:to>
    <xdr:pic>
      <xdr:nvPicPr>
        <xdr:cNvPr id="6" name="Picture 5" descr="Chart&#10;&#10;Description automatically generated">
          <a:extLst>
            <a:ext uri="{FF2B5EF4-FFF2-40B4-BE49-F238E27FC236}">
              <a16:creationId xmlns:a16="http://schemas.microsoft.com/office/drawing/2014/main" id="{D10F7EE7-7175-E83D-7515-525AC8931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79420" y="5826254"/>
          <a:ext cx="2397759" cy="2485895"/>
        </a:xfrm>
        <a:prstGeom prst="rect">
          <a:avLst/>
        </a:prstGeom>
        <a:ln w="28575">
          <a:solidFill>
            <a:srgbClr val="7030A0"/>
          </a:solidFill>
        </a:ln>
      </xdr:spPr>
    </xdr:pic>
    <xdr:clientData/>
  </xdr:twoCellAnchor>
  <xdr:twoCellAnchor editAs="oneCell">
    <xdr:from>
      <xdr:col>3</xdr:col>
      <xdr:colOff>940162</xdr:colOff>
      <xdr:row>15</xdr:row>
      <xdr:rowOff>22860</xdr:rowOff>
    </xdr:from>
    <xdr:to>
      <xdr:col>7</xdr:col>
      <xdr:colOff>113654</xdr:colOff>
      <xdr:row>25</xdr:row>
      <xdr:rowOff>129540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F0E063A-C918-CD9A-801E-4724DFFC2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34722" y="3268980"/>
          <a:ext cx="2526292" cy="1981200"/>
        </a:xfrm>
        <a:prstGeom prst="rect">
          <a:avLst/>
        </a:prstGeom>
        <a:ln w="28575">
          <a:solidFill>
            <a:srgbClr val="A5002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8A517-E1BD-4634-9423-E6FC9428D71C}">
  <dimension ref="B2:AT35"/>
  <sheetViews>
    <sheetView tabSelected="1" topLeftCell="E10" zoomScale="94" zoomScaleNormal="94" workbookViewId="0">
      <selection activeCell="M8" sqref="M8"/>
    </sheetView>
  </sheetViews>
  <sheetFormatPr baseColWidth="10" defaultColWidth="9.140625" defaultRowHeight="15" x14ac:dyDescent="0.25"/>
  <cols>
    <col min="2" max="2" width="17.85546875" customWidth="1"/>
    <col min="3" max="3" width="10.5703125" customWidth="1"/>
    <col min="4" max="4" width="4.28515625" bestFit="1" customWidth="1"/>
    <col min="5" max="5" width="4.7109375" customWidth="1"/>
    <col min="6" max="6" width="4.28515625" customWidth="1"/>
    <col min="7" max="7" width="4.85546875" customWidth="1"/>
    <col min="8" max="8" width="4.140625" customWidth="1"/>
    <col min="9" max="10" width="4.42578125" customWidth="1"/>
    <col min="11" max="11" width="4.28515625" customWidth="1"/>
    <col min="12" max="12" width="5.28515625" customWidth="1"/>
    <col min="13" max="13" width="5.140625" customWidth="1"/>
    <col min="14" max="14" width="5.7109375" customWidth="1"/>
    <col min="15" max="15" width="6.85546875" customWidth="1"/>
    <col min="16" max="16" width="3.28515625" customWidth="1"/>
    <col min="17" max="17" width="5.7109375" customWidth="1"/>
    <col min="20" max="20" width="23" customWidth="1"/>
    <col min="21" max="21" width="7.28515625" customWidth="1"/>
    <col min="22" max="22" width="8" customWidth="1"/>
    <col min="23" max="23" width="7" customWidth="1"/>
    <col min="24" max="24" width="7.42578125" customWidth="1"/>
    <col min="25" max="25" width="17" customWidth="1"/>
    <col min="26" max="26" width="5.7109375" customWidth="1"/>
    <col min="27" max="27" width="14.7109375" customWidth="1"/>
    <col min="29" max="29" width="8.85546875" customWidth="1"/>
    <col min="30" max="30" width="19.28515625" customWidth="1"/>
    <col min="31" max="31" width="8.7109375" customWidth="1"/>
    <col min="32" max="32" width="10.42578125" bestFit="1" customWidth="1"/>
    <col min="33" max="33" width="8.85546875" customWidth="1"/>
    <col min="34" max="34" width="10.42578125" customWidth="1"/>
    <col min="35" max="35" width="7.28515625" customWidth="1"/>
    <col min="36" max="36" width="10.7109375" customWidth="1"/>
    <col min="37" max="37" width="9.140625" customWidth="1"/>
    <col min="38" max="38" width="10.5703125" customWidth="1"/>
    <col min="39" max="39" width="10.42578125" customWidth="1"/>
    <col min="40" max="40" width="7.140625" customWidth="1"/>
    <col min="42" max="42" width="14.28515625" customWidth="1"/>
    <col min="46" max="46" width="11.140625" customWidth="1"/>
  </cols>
  <sheetData>
    <row r="2" spans="2:46" ht="26.45" customHeight="1" x14ac:dyDescent="0.25">
      <c r="C2" s="27" t="s">
        <v>0</v>
      </c>
      <c r="D2" s="27" t="s">
        <v>1</v>
      </c>
      <c r="E2" s="27" t="s">
        <v>2</v>
      </c>
      <c r="F2" s="27" t="s">
        <v>3</v>
      </c>
      <c r="G2" s="27" t="s">
        <v>4</v>
      </c>
      <c r="H2" s="27" t="s">
        <v>5</v>
      </c>
      <c r="I2" s="27" t="s">
        <v>6</v>
      </c>
      <c r="J2" s="27" t="s">
        <v>7</v>
      </c>
      <c r="K2" s="27" t="s">
        <v>8</v>
      </c>
      <c r="L2" s="27" t="s">
        <v>9</v>
      </c>
      <c r="M2" s="27" t="s">
        <v>10</v>
      </c>
      <c r="N2" s="27" t="s">
        <v>11</v>
      </c>
      <c r="O2" s="71" t="s">
        <v>12</v>
      </c>
      <c r="T2" s="129" t="s">
        <v>13</v>
      </c>
      <c r="U2" s="129" t="s">
        <v>14</v>
      </c>
      <c r="V2" s="129"/>
      <c r="W2" s="129"/>
      <c r="X2" s="129"/>
      <c r="Y2" s="130" t="s">
        <v>15</v>
      </c>
      <c r="Z2" s="119"/>
      <c r="AA2" s="111" t="s">
        <v>16</v>
      </c>
      <c r="AD2" s="117" t="s">
        <v>17</v>
      </c>
      <c r="AE2" s="118"/>
      <c r="AF2" s="118"/>
      <c r="AG2" s="118"/>
      <c r="AH2" s="118"/>
      <c r="AJ2" s="117" t="s">
        <v>18</v>
      </c>
      <c r="AK2" s="118"/>
      <c r="AL2" s="118"/>
      <c r="AM2" s="118"/>
      <c r="AN2" s="118"/>
      <c r="AP2" s="100" t="s">
        <v>19</v>
      </c>
      <c r="AQ2" s="100"/>
      <c r="AR2" s="100"/>
      <c r="AS2" s="100"/>
      <c r="AT2" s="100"/>
    </row>
    <row r="3" spans="2:46" ht="29.45" customHeight="1" x14ac:dyDescent="0.25">
      <c r="B3" s="23" t="s">
        <v>20</v>
      </c>
      <c r="C3" s="21">
        <v>1</v>
      </c>
      <c r="D3" s="21">
        <v>1</v>
      </c>
      <c r="E3" s="21">
        <v>1</v>
      </c>
      <c r="F3" s="21">
        <v>1</v>
      </c>
      <c r="G3" s="21">
        <v>1</v>
      </c>
      <c r="H3" s="21">
        <v>1</v>
      </c>
      <c r="I3" s="21">
        <v>1</v>
      </c>
      <c r="J3" s="21">
        <v>1</v>
      </c>
      <c r="K3" s="21">
        <v>1</v>
      </c>
      <c r="L3" s="21">
        <v>1</v>
      </c>
      <c r="M3" s="21">
        <v>1</v>
      </c>
      <c r="N3" s="21">
        <v>1</v>
      </c>
      <c r="O3" s="70">
        <f>SUMPRODUCT(C3:N3,C4:N4)</f>
        <v>75</v>
      </c>
      <c r="T3" s="129"/>
      <c r="U3" s="53" t="s">
        <v>21</v>
      </c>
      <c r="V3" s="53" t="s">
        <v>22</v>
      </c>
      <c r="W3" s="53" t="s">
        <v>23</v>
      </c>
      <c r="X3" s="53" t="s">
        <v>24</v>
      </c>
      <c r="Y3" s="130"/>
      <c r="Z3" s="119"/>
      <c r="AA3" s="111"/>
      <c r="AD3" s="112" t="s">
        <v>25</v>
      </c>
      <c r="AE3" s="114" t="s">
        <v>26</v>
      </c>
      <c r="AF3" s="115"/>
      <c r="AG3" s="115"/>
      <c r="AH3" s="116"/>
      <c r="AJ3" s="45" t="s">
        <v>27</v>
      </c>
      <c r="AK3" s="125" t="s">
        <v>28</v>
      </c>
      <c r="AL3" s="34"/>
      <c r="AM3" s="112" t="s">
        <v>25</v>
      </c>
      <c r="AN3" s="112" t="s">
        <v>28</v>
      </c>
      <c r="AP3" s="101"/>
      <c r="AQ3" s="101"/>
      <c r="AR3" s="101"/>
      <c r="AS3" s="101"/>
      <c r="AT3" s="101"/>
    </row>
    <row r="4" spans="2:46" x14ac:dyDescent="0.25">
      <c r="B4" s="23" t="s">
        <v>29</v>
      </c>
      <c r="C4" s="26">
        <v>4.75</v>
      </c>
      <c r="D4" s="26">
        <v>6.5</v>
      </c>
      <c r="E4" s="26">
        <v>6.5</v>
      </c>
      <c r="F4" s="26">
        <v>5</v>
      </c>
      <c r="G4" s="26">
        <v>5.25</v>
      </c>
      <c r="H4" s="26">
        <v>5.75</v>
      </c>
      <c r="I4" s="26">
        <v>6.25</v>
      </c>
      <c r="J4" s="26">
        <v>6.25</v>
      </c>
      <c r="K4" s="26">
        <v>6.5</v>
      </c>
      <c r="L4" s="26">
        <v>7.5</v>
      </c>
      <c r="M4" s="26">
        <v>7.5</v>
      </c>
      <c r="N4" s="26">
        <v>7.25</v>
      </c>
      <c r="T4" s="53" t="s">
        <v>30</v>
      </c>
      <c r="U4" s="29">
        <v>0</v>
      </c>
      <c r="V4" s="29">
        <v>0</v>
      </c>
      <c r="W4" s="29">
        <v>0</v>
      </c>
      <c r="X4" s="29">
        <v>0</v>
      </c>
      <c r="Y4" s="35">
        <v>0</v>
      </c>
      <c r="Z4" s="37" t="s">
        <v>31</v>
      </c>
      <c r="AA4" s="36">
        <v>300</v>
      </c>
      <c r="AD4" s="113"/>
      <c r="AE4" s="40" t="s">
        <v>32</v>
      </c>
      <c r="AF4" s="40" t="s">
        <v>33</v>
      </c>
      <c r="AG4" s="40" t="s">
        <v>34</v>
      </c>
      <c r="AH4" s="40" t="s">
        <v>24</v>
      </c>
      <c r="AJ4" s="46" t="s">
        <v>35</v>
      </c>
      <c r="AK4" s="126"/>
      <c r="AL4" s="34"/>
      <c r="AM4" s="113"/>
      <c r="AN4" s="113"/>
      <c r="AP4" s="48" t="s">
        <v>27</v>
      </c>
      <c r="AQ4" s="102" t="s">
        <v>36</v>
      </c>
      <c r="AR4" s="34"/>
      <c r="AS4" s="104" t="s">
        <v>25</v>
      </c>
      <c r="AT4" s="102" t="s">
        <v>36</v>
      </c>
    </row>
    <row r="5" spans="2:46" x14ac:dyDescent="0.25">
      <c r="B5" s="23" t="s">
        <v>37</v>
      </c>
      <c r="O5" s="24" t="s">
        <v>38</v>
      </c>
      <c r="P5" s="22"/>
      <c r="Q5" s="24" t="s">
        <v>39</v>
      </c>
      <c r="T5" s="53" t="s">
        <v>40</v>
      </c>
      <c r="U5" s="29">
        <v>0</v>
      </c>
      <c r="V5" s="29">
        <v>0</v>
      </c>
      <c r="W5" s="29">
        <v>0</v>
      </c>
      <c r="X5" s="29">
        <v>0</v>
      </c>
      <c r="Y5" s="30">
        <v>0</v>
      </c>
      <c r="Z5" s="37" t="s">
        <v>31</v>
      </c>
      <c r="AA5" s="36">
        <v>700</v>
      </c>
      <c r="AD5" s="41" t="s">
        <v>41</v>
      </c>
      <c r="AE5" s="42">
        <v>4.75</v>
      </c>
      <c r="AF5" s="42">
        <v>6.5</v>
      </c>
      <c r="AG5" s="42">
        <v>6.5</v>
      </c>
      <c r="AH5" s="42">
        <v>5</v>
      </c>
      <c r="AJ5" s="1" t="s">
        <v>32</v>
      </c>
      <c r="AK5" s="47">
        <v>0.2</v>
      </c>
      <c r="AM5" s="38" t="s">
        <v>41</v>
      </c>
      <c r="AN5" s="39">
        <v>0.15</v>
      </c>
      <c r="AP5" s="50" t="s">
        <v>35</v>
      </c>
      <c r="AQ5" s="103"/>
      <c r="AR5" s="34"/>
      <c r="AS5" s="105"/>
      <c r="AT5" s="103"/>
    </row>
    <row r="6" spans="2:46" x14ac:dyDescent="0.25">
      <c r="B6" s="23" t="s">
        <v>42</v>
      </c>
      <c r="C6" s="28">
        <v>1</v>
      </c>
      <c r="D6" s="28">
        <v>1</v>
      </c>
      <c r="E6" s="28">
        <v>1</v>
      </c>
      <c r="F6" s="28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25">
        <f>SUMPRODUCT(C6:N6,C3:N3)</f>
        <v>4</v>
      </c>
      <c r="P6" s="26" t="s">
        <v>31</v>
      </c>
      <c r="Q6" s="25">
        <v>300</v>
      </c>
      <c r="T6" s="53" t="s">
        <v>43</v>
      </c>
      <c r="U6" s="29">
        <v>0</v>
      </c>
      <c r="V6" s="29">
        <v>0</v>
      </c>
      <c r="W6" s="29">
        <v>0</v>
      </c>
      <c r="X6" s="29">
        <v>0</v>
      </c>
      <c r="Y6" s="30">
        <v>0</v>
      </c>
      <c r="Z6" s="37" t="s">
        <v>31</v>
      </c>
      <c r="AA6" s="36">
        <v>400</v>
      </c>
      <c r="AD6" s="41" t="s">
        <v>44</v>
      </c>
      <c r="AE6" s="42">
        <v>5.25</v>
      </c>
      <c r="AF6" s="42">
        <v>5.75</v>
      </c>
      <c r="AG6" s="42">
        <v>6.25</v>
      </c>
      <c r="AH6" s="42">
        <v>6.25</v>
      </c>
      <c r="AJ6" s="1" t="s">
        <v>33</v>
      </c>
      <c r="AK6" s="47">
        <v>0.27500000000000002</v>
      </c>
      <c r="AM6" s="38" t="s">
        <v>44</v>
      </c>
      <c r="AN6" s="39">
        <v>0.35</v>
      </c>
      <c r="AP6" s="1" t="s">
        <v>32</v>
      </c>
      <c r="AQ6" s="51">
        <f>2000*AK5</f>
        <v>400</v>
      </c>
      <c r="AS6" s="49" t="s">
        <v>41</v>
      </c>
      <c r="AT6" s="51">
        <f>2000*AN5</f>
        <v>300</v>
      </c>
    </row>
    <row r="7" spans="2:46" ht="25.9" customHeight="1" x14ac:dyDescent="0.25">
      <c r="B7" s="23" t="s">
        <v>45</v>
      </c>
      <c r="C7" s="1">
        <v>0</v>
      </c>
      <c r="D7" s="1">
        <v>0</v>
      </c>
      <c r="E7" s="1">
        <v>0</v>
      </c>
      <c r="F7" s="1">
        <v>0</v>
      </c>
      <c r="G7" s="28">
        <v>1</v>
      </c>
      <c r="H7" s="28">
        <v>1</v>
      </c>
      <c r="I7" s="28">
        <v>1</v>
      </c>
      <c r="J7" s="28">
        <v>1</v>
      </c>
      <c r="K7" s="1">
        <v>0</v>
      </c>
      <c r="L7" s="1">
        <v>0</v>
      </c>
      <c r="M7" s="1">
        <v>0</v>
      </c>
      <c r="N7" s="1">
        <v>0</v>
      </c>
      <c r="O7" s="25">
        <f>SUMPRODUCT(C7:N7,C3:N3)</f>
        <v>4</v>
      </c>
      <c r="P7" s="26" t="s">
        <v>31</v>
      </c>
      <c r="Q7" s="25">
        <v>700</v>
      </c>
      <c r="T7" s="54" t="s">
        <v>46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AD7" s="41" t="s">
        <v>47</v>
      </c>
      <c r="AE7" s="42">
        <v>6.5</v>
      </c>
      <c r="AF7" s="42">
        <v>7.5</v>
      </c>
      <c r="AG7" s="42">
        <v>7.5</v>
      </c>
      <c r="AH7" s="42">
        <v>7.25</v>
      </c>
      <c r="AJ7" s="1" t="s">
        <v>34</v>
      </c>
      <c r="AK7" s="47">
        <v>0.15</v>
      </c>
      <c r="AM7" s="38" t="s">
        <v>47</v>
      </c>
      <c r="AN7" s="39">
        <v>0.2</v>
      </c>
      <c r="AP7" s="1" t="s">
        <v>33</v>
      </c>
      <c r="AQ7" s="51">
        <f t="shared" ref="AQ7:AQ9" si="0">2000*AK6</f>
        <v>550</v>
      </c>
      <c r="AS7" s="49" t="s">
        <v>44</v>
      </c>
      <c r="AT7" s="51">
        <f t="shared" ref="AT7:AT8" si="1">2000*AN6</f>
        <v>700</v>
      </c>
    </row>
    <row r="8" spans="2:46" x14ac:dyDescent="0.25">
      <c r="B8" s="23" t="s">
        <v>48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28">
        <v>1</v>
      </c>
      <c r="L8" s="28">
        <v>1</v>
      </c>
      <c r="M8" s="28">
        <v>1</v>
      </c>
      <c r="N8" s="28">
        <v>1</v>
      </c>
      <c r="O8" s="25">
        <f>SUMPRODUCT(C8:N8,C3:N3)</f>
        <v>4</v>
      </c>
      <c r="P8" s="26" t="s">
        <v>31</v>
      </c>
      <c r="Q8" s="25">
        <v>400</v>
      </c>
      <c r="T8" s="37"/>
      <c r="U8" s="37" t="s">
        <v>31</v>
      </c>
      <c r="V8" s="37" t="s">
        <v>31</v>
      </c>
      <c r="W8" s="37" t="s">
        <v>31</v>
      </c>
      <c r="X8" s="37" t="s">
        <v>31</v>
      </c>
      <c r="AD8" s="43"/>
      <c r="AE8" s="44"/>
      <c r="AF8" s="44"/>
      <c r="AG8" s="44"/>
      <c r="AH8" s="44"/>
      <c r="AJ8" s="1" t="s">
        <v>24</v>
      </c>
      <c r="AK8" s="47">
        <v>0.15</v>
      </c>
      <c r="AP8" s="1" t="s">
        <v>34</v>
      </c>
      <c r="AQ8" s="51">
        <f t="shared" si="0"/>
        <v>300</v>
      </c>
      <c r="AS8" s="49" t="s">
        <v>47</v>
      </c>
      <c r="AT8" s="51">
        <f t="shared" si="1"/>
        <v>400</v>
      </c>
    </row>
    <row r="9" spans="2:46" ht="30" x14ac:dyDescent="0.25">
      <c r="B9" s="23" t="s">
        <v>49</v>
      </c>
      <c r="C9" s="28">
        <v>1</v>
      </c>
      <c r="D9" s="1">
        <v>0</v>
      </c>
      <c r="E9" s="1">
        <v>0</v>
      </c>
      <c r="F9" s="1">
        <v>0</v>
      </c>
      <c r="G9" s="28">
        <v>1</v>
      </c>
      <c r="H9" s="1">
        <v>0</v>
      </c>
      <c r="I9" s="1">
        <v>0</v>
      </c>
      <c r="J9" s="1">
        <v>0</v>
      </c>
      <c r="K9" s="28">
        <v>1</v>
      </c>
      <c r="L9" s="1">
        <v>0</v>
      </c>
      <c r="M9" s="1">
        <v>0</v>
      </c>
      <c r="N9" s="1">
        <v>0</v>
      </c>
      <c r="O9" s="25">
        <f>SUMPRODUCT(C9:N9,C3:N3)</f>
        <v>3</v>
      </c>
      <c r="P9" s="26" t="s">
        <v>31</v>
      </c>
      <c r="Q9" s="25">
        <v>400</v>
      </c>
      <c r="T9" s="55" t="s">
        <v>16</v>
      </c>
      <c r="U9" s="31">
        <v>400</v>
      </c>
      <c r="V9" s="31">
        <v>550</v>
      </c>
      <c r="W9" s="31">
        <v>300</v>
      </c>
      <c r="X9" s="31">
        <v>300</v>
      </c>
      <c r="AD9" s="63"/>
      <c r="AE9" s="63"/>
      <c r="AF9" s="63"/>
      <c r="AG9" s="63"/>
      <c r="AH9" s="63"/>
      <c r="AJ9" s="62"/>
      <c r="AK9" s="62"/>
      <c r="AL9" s="62"/>
      <c r="AM9" s="62"/>
      <c r="AN9" s="62"/>
      <c r="AP9" s="1" t="s">
        <v>24</v>
      </c>
      <c r="AQ9" s="51">
        <f t="shared" si="0"/>
        <v>300</v>
      </c>
    </row>
    <row r="10" spans="2:46" ht="52.5" customHeight="1" x14ac:dyDescent="0.25">
      <c r="B10" s="23" t="s">
        <v>50</v>
      </c>
      <c r="C10" s="1">
        <v>0</v>
      </c>
      <c r="D10" s="28">
        <v>1</v>
      </c>
      <c r="E10" s="1">
        <v>0</v>
      </c>
      <c r="F10" s="1">
        <v>0</v>
      </c>
      <c r="G10" s="1">
        <v>0</v>
      </c>
      <c r="H10" s="28">
        <v>1</v>
      </c>
      <c r="I10" s="1">
        <v>0</v>
      </c>
      <c r="J10" s="1">
        <v>0</v>
      </c>
      <c r="K10" s="1">
        <v>0</v>
      </c>
      <c r="L10" s="28">
        <v>1</v>
      </c>
      <c r="M10" s="1">
        <v>0</v>
      </c>
      <c r="N10" s="1">
        <v>0</v>
      </c>
      <c r="O10" s="25">
        <f>SUMPRODUCT(C10:N10,C3:N3)</f>
        <v>3</v>
      </c>
      <c r="P10" s="26" t="s">
        <v>31</v>
      </c>
      <c r="Q10" s="25">
        <v>550</v>
      </c>
      <c r="T10" s="56" t="s">
        <v>51</v>
      </c>
      <c r="U10" s="32">
        <v>0</v>
      </c>
      <c r="V10" s="32">
        <v>0</v>
      </c>
      <c r="W10" s="32">
        <v>0</v>
      </c>
      <c r="X10" s="32">
        <v>0</v>
      </c>
      <c r="Y10" s="52">
        <v>0</v>
      </c>
      <c r="Z10" s="33"/>
      <c r="AD10" s="110" t="s">
        <v>13</v>
      </c>
      <c r="AE10" s="110" t="s">
        <v>14</v>
      </c>
      <c r="AF10" s="110"/>
      <c r="AG10" s="110"/>
      <c r="AH10" s="110"/>
      <c r="AI10" s="110"/>
      <c r="AJ10" s="110"/>
      <c r="AK10" s="110"/>
      <c r="AL10" s="110"/>
      <c r="AM10" s="63"/>
      <c r="AN10" s="63"/>
    </row>
    <row r="11" spans="2:46" ht="38.25" customHeight="1" x14ac:dyDescent="0.25">
      <c r="B11" s="23" t="s">
        <v>52</v>
      </c>
      <c r="C11" s="1">
        <v>0</v>
      </c>
      <c r="D11" s="1">
        <v>0</v>
      </c>
      <c r="E11" s="28">
        <v>1</v>
      </c>
      <c r="F11" s="1">
        <v>0</v>
      </c>
      <c r="G11" s="1">
        <v>0</v>
      </c>
      <c r="H11" s="1">
        <v>0</v>
      </c>
      <c r="I11" s="28">
        <v>1</v>
      </c>
      <c r="J11" s="1">
        <v>0</v>
      </c>
      <c r="K11" s="1">
        <v>0</v>
      </c>
      <c r="L11" s="1">
        <v>0</v>
      </c>
      <c r="M11" s="28">
        <v>1</v>
      </c>
      <c r="N11" s="1">
        <v>0</v>
      </c>
      <c r="O11" s="25">
        <f>SUMPRODUCT(C11:N11,C3:N3)</f>
        <v>3</v>
      </c>
      <c r="P11" s="26" t="s">
        <v>31</v>
      </c>
      <c r="Q11" s="25">
        <v>300</v>
      </c>
      <c r="AD11" s="110"/>
      <c r="AE11" s="68" t="s">
        <v>21</v>
      </c>
      <c r="AF11" s="69" t="s">
        <v>53</v>
      </c>
      <c r="AG11" s="68" t="s">
        <v>22</v>
      </c>
      <c r="AH11" s="69" t="s">
        <v>53</v>
      </c>
      <c r="AI11" s="68" t="s">
        <v>23</v>
      </c>
      <c r="AJ11" s="69" t="s">
        <v>53</v>
      </c>
      <c r="AK11" s="68" t="s">
        <v>24</v>
      </c>
      <c r="AL11" s="69" t="s">
        <v>53</v>
      </c>
      <c r="AM11" s="63"/>
      <c r="AN11" s="63"/>
    </row>
    <row r="12" spans="2:46" ht="25.15" customHeight="1" x14ac:dyDescent="0.25">
      <c r="B12" s="23" t="s">
        <v>54</v>
      </c>
      <c r="C12" s="1">
        <v>0</v>
      </c>
      <c r="D12" s="1">
        <v>0</v>
      </c>
      <c r="E12" s="1">
        <v>0</v>
      </c>
      <c r="F12" s="28">
        <v>1</v>
      </c>
      <c r="G12" s="1">
        <v>0</v>
      </c>
      <c r="H12" s="1">
        <v>0</v>
      </c>
      <c r="I12" s="1">
        <v>0</v>
      </c>
      <c r="J12" s="28">
        <v>1</v>
      </c>
      <c r="K12" s="1">
        <v>0</v>
      </c>
      <c r="L12" s="1">
        <v>0</v>
      </c>
      <c r="M12" s="1">
        <v>0</v>
      </c>
      <c r="N12" s="28">
        <v>1</v>
      </c>
      <c r="O12" s="25">
        <f>SUMPRODUCT(C12:N12,C3:N3)</f>
        <v>3</v>
      </c>
      <c r="P12" s="26" t="s">
        <v>31</v>
      </c>
      <c r="Q12" s="25">
        <v>300</v>
      </c>
      <c r="T12" s="123" t="s">
        <v>13</v>
      </c>
      <c r="U12" s="120" t="s">
        <v>14</v>
      </c>
      <c r="V12" s="121"/>
      <c r="W12" s="121"/>
      <c r="X12" s="122"/>
      <c r="Y12" s="127" t="s">
        <v>15</v>
      </c>
      <c r="Z12" s="106"/>
      <c r="AA12" s="108" t="s">
        <v>16</v>
      </c>
      <c r="AD12" s="87" t="s">
        <v>30</v>
      </c>
      <c r="AE12" s="65">
        <v>600</v>
      </c>
      <c r="AF12" s="66">
        <f>AE12*AE5</f>
        <v>2850</v>
      </c>
      <c r="AG12" s="65">
        <v>0</v>
      </c>
      <c r="AH12" s="66">
        <f>AG12*AF5</f>
        <v>0</v>
      </c>
      <c r="AI12" s="65">
        <v>0</v>
      </c>
      <c r="AJ12" s="66">
        <f>AI12*AG5</f>
        <v>0</v>
      </c>
      <c r="AK12" s="65">
        <v>300</v>
      </c>
      <c r="AL12" s="66">
        <f>AK12*AH5</f>
        <v>1500</v>
      </c>
      <c r="AM12" s="63"/>
      <c r="AN12" s="63"/>
    </row>
    <row r="13" spans="2:46" ht="30" x14ac:dyDescent="0.25">
      <c r="B13" s="23" t="s">
        <v>55</v>
      </c>
      <c r="C13" s="28">
        <v>1</v>
      </c>
      <c r="D13" s="28">
        <v>1</v>
      </c>
      <c r="E13" s="28">
        <v>1</v>
      </c>
      <c r="F13" s="28">
        <v>1</v>
      </c>
      <c r="G13" s="28">
        <v>1</v>
      </c>
      <c r="H13" s="28">
        <v>1</v>
      </c>
      <c r="I13" s="28">
        <v>1</v>
      </c>
      <c r="J13" s="28">
        <v>1</v>
      </c>
      <c r="K13" s="28">
        <v>1</v>
      </c>
      <c r="L13" s="28">
        <v>1</v>
      </c>
      <c r="M13" s="28">
        <v>1</v>
      </c>
      <c r="N13" s="28">
        <v>1</v>
      </c>
      <c r="O13" s="25">
        <f>SUMPRODUCT(C13:N13,C3:N3)</f>
        <v>12</v>
      </c>
      <c r="P13" s="26" t="s">
        <v>56</v>
      </c>
      <c r="Q13" s="25">
        <v>2000</v>
      </c>
      <c r="T13" s="124"/>
      <c r="U13" s="53" t="s">
        <v>21</v>
      </c>
      <c r="V13" s="53" t="s">
        <v>22</v>
      </c>
      <c r="W13" s="53" t="s">
        <v>23</v>
      </c>
      <c r="X13" s="53" t="s">
        <v>24</v>
      </c>
      <c r="Y13" s="128"/>
      <c r="Z13" s="107"/>
      <c r="AA13" s="109"/>
      <c r="AD13" s="88" t="s">
        <v>40</v>
      </c>
      <c r="AE13" s="29">
        <v>0</v>
      </c>
      <c r="AF13" s="58">
        <f>AE13*AE6</f>
        <v>0</v>
      </c>
      <c r="AG13" s="29">
        <v>550</v>
      </c>
      <c r="AH13" s="58">
        <f>AG13*AF6</f>
        <v>3162.5</v>
      </c>
      <c r="AI13" s="29">
        <v>150</v>
      </c>
      <c r="AJ13" s="58">
        <f>AI13*AG6</f>
        <v>937.5</v>
      </c>
      <c r="AK13" s="29">
        <v>0</v>
      </c>
      <c r="AL13" s="58">
        <f>AK13*AH6</f>
        <v>0</v>
      </c>
      <c r="AM13" s="63"/>
      <c r="AN13" s="63"/>
    </row>
    <row r="14" spans="2:46" x14ac:dyDescent="0.25">
      <c r="T14" s="53" t="s">
        <v>30</v>
      </c>
      <c r="U14" s="29">
        <v>600</v>
      </c>
      <c r="V14" s="29">
        <v>0</v>
      </c>
      <c r="W14" s="29">
        <v>0</v>
      </c>
      <c r="X14" s="29">
        <v>300</v>
      </c>
      <c r="Y14" s="35">
        <v>900</v>
      </c>
      <c r="Z14" s="37" t="s">
        <v>31</v>
      </c>
      <c r="AA14" s="36">
        <v>300</v>
      </c>
      <c r="AD14" s="89" t="s">
        <v>43</v>
      </c>
      <c r="AE14" s="59">
        <v>250</v>
      </c>
      <c r="AF14" s="58">
        <f>AE14*AE7</f>
        <v>1625</v>
      </c>
      <c r="AG14" s="59">
        <v>0</v>
      </c>
      <c r="AH14" s="58">
        <f>AG14*AF7</f>
        <v>0</v>
      </c>
      <c r="AI14" s="59">
        <v>150</v>
      </c>
      <c r="AJ14" s="58">
        <f>AI14*AG7</f>
        <v>1125</v>
      </c>
      <c r="AK14" s="59">
        <v>0</v>
      </c>
      <c r="AL14" s="58">
        <f>AK14*AH7</f>
        <v>0</v>
      </c>
      <c r="AM14" s="63"/>
      <c r="AN14" s="63"/>
    </row>
    <row r="15" spans="2:46" x14ac:dyDescent="0.25">
      <c r="T15" s="53" t="s">
        <v>40</v>
      </c>
      <c r="U15" s="29">
        <v>0</v>
      </c>
      <c r="V15" s="29">
        <v>550</v>
      </c>
      <c r="W15" s="29">
        <v>150</v>
      </c>
      <c r="X15" s="29">
        <v>0</v>
      </c>
      <c r="Y15" s="30">
        <v>700</v>
      </c>
      <c r="Z15" s="37" t="s">
        <v>31</v>
      </c>
      <c r="AA15" s="36">
        <v>700</v>
      </c>
      <c r="AD15" s="60" t="s">
        <v>57</v>
      </c>
      <c r="AE15" s="90">
        <f>SUM(AE12:AE14)</f>
        <v>850</v>
      </c>
      <c r="AF15" s="61">
        <f>SUM(AF12:AF14)</f>
        <v>4475</v>
      </c>
      <c r="AG15" s="90">
        <f t="shared" ref="AG15:AL15" si="2">SUM(AG12:AG14)</f>
        <v>550</v>
      </c>
      <c r="AH15" s="64">
        <f t="shared" si="2"/>
        <v>3162.5</v>
      </c>
      <c r="AI15" s="90">
        <f t="shared" si="2"/>
        <v>300</v>
      </c>
      <c r="AJ15" s="61">
        <f t="shared" si="2"/>
        <v>2062.5</v>
      </c>
      <c r="AK15" s="90">
        <f t="shared" si="2"/>
        <v>300</v>
      </c>
      <c r="AL15" s="61">
        <f t="shared" si="2"/>
        <v>1500</v>
      </c>
      <c r="AM15" s="63"/>
      <c r="AN15" s="63"/>
    </row>
    <row r="16" spans="2:46" x14ac:dyDescent="0.25">
      <c r="T16" s="53" t="s">
        <v>43</v>
      </c>
      <c r="U16" s="29">
        <v>250</v>
      </c>
      <c r="V16" s="29">
        <v>0</v>
      </c>
      <c r="W16" s="29">
        <v>150</v>
      </c>
      <c r="X16" s="29">
        <v>0</v>
      </c>
      <c r="Y16" s="30">
        <v>400</v>
      </c>
      <c r="Z16" s="37" t="s">
        <v>31</v>
      </c>
      <c r="AA16" s="36">
        <v>400</v>
      </c>
    </row>
    <row r="17" spans="2:35" ht="43.15" customHeight="1" thickBot="1" x14ac:dyDescent="0.3">
      <c r="T17" s="54" t="s">
        <v>46</v>
      </c>
      <c r="U17" s="30">
        <v>850</v>
      </c>
      <c r="V17" s="30">
        <v>550</v>
      </c>
      <c r="W17" s="30">
        <v>300</v>
      </c>
      <c r="X17" s="30">
        <v>300</v>
      </c>
      <c r="Y17" s="30">
        <f>SUM(Y14:Y16)</f>
        <v>2000</v>
      </c>
    </row>
    <row r="18" spans="2:35" ht="11.45" customHeight="1" x14ac:dyDescent="0.25">
      <c r="B18" s="144" t="s">
        <v>27</v>
      </c>
      <c r="C18" s="141" t="s">
        <v>28</v>
      </c>
      <c r="D18" s="73"/>
      <c r="E18" s="143" t="s">
        <v>27</v>
      </c>
      <c r="F18" s="134" t="s">
        <v>58</v>
      </c>
      <c r="G18" s="131" t="s">
        <v>59</v>
      </c>
      <c r="T18" s="37"/>
      <c r="U18" s="37" t="s">
        <v>31</v>
      </c>
      <c r="V18" s="37" t="s">
        <v>31</v>
      </c>
      <c r="W18" s="37" t="s">
        <v>31</v>
      </c>
      <c r="X18" s="37" t="s">
        <v>31</v>
      </c>
    </row>
    <row r="19" spans="2:35" ht="12.6" customHeight="1" thickBot="1" x14ac:dyDescent="0.3">
      <c r="B19" s="145"/>
      <c r="C19" s="142"/>
      <c r="E19" s="143"/>
      <c r="F19" s="135"/>
      <c r="G19" s="132"/>
      <c r="T19" s="55" t="s">
        <v>16</v>
      </c>
      <c r="U19" s="31">
        <v>400</v>
      </c>
      <c r="V19" s="31">
        <v>550</v>
      </c>
      <c r="W19" s="31">
        <v>300</v>
      </c>
      <c r="X19" s="31">
        <v>300</v>
      </c>
    </row>
    <row r="20" spans="2:35" ht="30.6" customHeight="1" thickBot="1" x14ac:dyDescent="0.3">
      <c r="B20" s="137" t="s">
        <v>35</v>
      </c>
      <c r="C20" s="138"/>
      <c r="D20" s="74"/>
      <c r="E20" s="83" t="s">
        <v>35</v>
      </c>
      <c r="F20" s="136"/>
      <c r="G20" s="133"/>
      <c r="I20" s="23" t="s">
        <v>37</v>
      </c>
      <c r="T20" s="56" t="s">
        <v>51</v>
      </c>
      <c r="U20" s="67">
        <v>4475</v>
      </c>
      <c r="V20" s="67">
        <v>3162.5</v>
      </c>
      <c r="W20" s="67">
        <v>2062.5</v>
      </c>
      <c r="X20" s="67">
        <v>1500</v>
      </c>
      <c r="Y20" s="57">
        <f>SUM(U20:X20)</f>
        <v>11200</v>
      </c>
      <c r="Z20" s="33"/>
    </row>
    <row r="21" spans="2:35" ht="15.75" thickBot="1" x14ac:dyDescent="0.3">
      <c r="B21" s="75" t="s">
        <v>32</v>
      </c>
      <c r="C21" s="77">
        <v>0.2</v>
      </c>
      <c r="D21" s="74"/>
      <c r="E21" s="80" t="s">
        <v>32</v>
      </c>
      <c r="F21" s="81" t="s">
        <v>60</v>
      </c>
      <c r="G21" s="81">
        <f>2000*C21</f>
        <v>400</v>
      </c>
      <c r="I21" s="23" t="s">
        <v>42</v>
      </c>
      <c r="J21" s="25">
        <v>4</v>
      </c>
      <c r="K21" s="26" t="s">
        <v>31</v>
      </c>
      <c r="L21" s="25">
        <v>300</v>
      </c>
    </row>
    <row r="22" spans="2:35" ht="15.75" thickBot="1" x14ac:dyDescent="0.3">
      <c r="B22" s="75" t="s">
        <v>33</v>
      </c>
      <c r="C22" s="78">
        <v>0.27500000000000002</v>
      </c>
      <c r="D22" s="74"/>
      <c r="E22" s="80" t="s">
        <v>33</v>
      </c>
      <c r="F22" s="81" t="s">
        <v>61</v>
      </c>
      <c r="G22" s="81">
        <f>2000*C22</f>
        <v>550</v>
      </c>
      <c r="I22" s="23" t="s">
        <v>45</v>
      </c>
      <c r="J22" s="25">
        <v>4</v>
      </c>
      <c r="K22" s="26" t="s">
        <v>31</v>
      </c>
      <c r="L22" s="25">
        <v>700</v>
      </c>
    </row>
    <row r="23" spans="2:35" ht="15.75" thickBot="1" x14ac:dyDescent="0.3">
      <c r="B23" s="75" t="s">
        <v>34</v>
      </c>
      <c r="C23" s="78">
        <v>0.15</v>
      </c>
      <c r="D23" s="74"/>
      <c r="E23" s="80" t="s">
        <v>34</v>
      </c>
      <c r="F23" s="81" t="s">
        <v>62</v>
      </c>
      <c r="G23" s="81">
        <f>2000*C23</f>
        <v>300</v>
      </c>
      <c r="I23" s="23" t="s">
        <v>48</v>
      </c>
      <c r="J23" s="25">
        <v>4</v>
      </c>
      <c r="K23" s="26" t="s">
        <v>31</v>
      </c>
      <c r="L23" s="25">
        <v>400</v>
      </c>
      <c r="U23" s="99" t="s">
        <v>65</v>
      </c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</row>
    <row r="24" spans="2:35" ht="15.75" thickBot="1" x14ac:dyDescent="0.3">
      <c r="B24" s="75" t="s">
        <v>63</v>
      </c>
      <c r="C24" s="78">
        <v>0.15</v>
      </c>
      <c r="D24" s="74"/>
      <c r="E24" s="80" t="s">
        <v>63</v>
      </c>
      <c r="F24" s="81" t="s">
        <v>62</v>
      </c>
      <c r="G24" s="81">
        <f>2000*C24</f>
        <v>300</v>
      </c>
      <c r="I24" s="23" t="s">
        <v>49</v>
      </c>
      <c r="J24" s="25">
        <v>3</v>
      </c>
      <c r="K24" s="26" t="s">
        <v>31</v>
      </c>
      <c r="L24" s="25">
        <v>400</v>
      </c>
      <c r="U24" s="27" t="s">
        <v>0</v>
      </c>
      <c r="V24" s="27" t="s">
        <v>1</v>
      </c>
      <c r="W24" s="27" t="s">
        <v>2</v>
      </c>
      <c r="X24" s="27" t="s">
        <v>3</v>
      </c>
      <c r="Y24" s="27" t="s">
        <v>4</v>
      </c>
      <c r="Z24" s="27" t="s">
        <v>5</v>
      </c>
      <c r="AA24" s="27" t="s">
        <v>6</v>
      </c>
      <c r="AB24" s="27" t="s">
        <v>7</v>
      </c>
      <c r="AC24" s="27" t="s">
        <v>8</v>
      </c>
      <c r="AD24" s="27" t="s">
        <v>9</v>
      </c>
      <c r="AE24" s="27" t="s">
        <v>10</v>
      </c>
      <c r="AF24" s="27" t="s">
        <v>11</v>
      </c>
      <c r="AG24" s="96" t="s">
        <v>12</v>
      </c>
    </row>
    <row r="25" spans="2:35" ht="15.75" thickBot="1" x14ac:dyDescent="0.3">
      <c r="B25" s="139" t="s">
        <v>25</v>
      </c>
      <c r="C25" s="140"/>
      <c r="D25" s="74"/>
      <c r="E25" s="84" t="s">
        <v>25</v>
      </c>
      <c r="F25" s="85"/>
      <c r="G25" s="85"/>
      <c r="I25" s="23" t="s">
        <v>50</v>
      </c>
      <c r="J25" s="25">
        <v>3</v>
      </c>
      <c r="K25" s="26" t="s">
        <v>31</v>
      </c>
      <c r="L25" s="25">
        <v>550</v>
      </c>
      <c r="T25" s="92" t="s">
        <v>20</v>
      </c>
      <c r="U25" s="97">
        <v>600</v>
      </c>
      <c r="V25" s="97">
        <v>0</v>
      </c>
      <c r="W25" s="97">
        <v>0</v>
      </c>
      <c r="X25" s="97">
        <v>300</v>
      </c>
      <c r="Y25" s="97">
        <v>150</v>
      </c>
      <c r="Z25" s="97">
        <v>550</v>
      </c>
      <c r="AA25" s="97">
        <v>0</v>
      </c>
      <c r="AB25" s="97">
        <v>0</v>
      </c>
      <c r="AC25" s="97">
        <v>100</v>
      </c>
      <c r="AD25" s="97">
        <v>0</v>
      </c>
      <c r="AE25" s="97">
        <v>300</v>
      </c>
      <c r="AF25" s="97">
        <v>0</v>
      </c>
      <c r="AG25" s="98">
        <f>SUMPRODUCT(U26:AF26,U25:AF25)</f>
        <v>11200</v>
      </c>
    </row>
    <row r="26" spans="2:35" ht="15.75" thickBot="1" x14ac:dyDescent="0.3">
      <c r="B26" s="76" t="s">
        <v>30</v>
      </c>
      <c r="C26" s="79">
        <v>0.15</v>
      </c>
      <c r="D26" s="74"/>
      <c r="E26" s="82" t="s">
        <v>30</v>
      </c>
      <c r="F26" s="81" t="s">
        <v>62</v>
      </c>
      <c r="G26" s="81">
        <f>2000*C26</f>
        <v>300</v>
      </c>
      <c r="I26" s="23" t="s">
        <v>52</v>
      </c>
      <c r="J26" s="25">
        <v>3</v>
      </c>
      <c r="K26" s="26" t="s">
        <v>31</v>
      </c>
      <c r="L26" s="25">
        <v>300</v>
      </c>
      <c r="T26" s="92" t="s">
        <v>29</v>
      </c>
      <c r="U26" s="86">
        <v>4.75</v>
      </c>
      <c r="V26" s="86">
        <v>6.5</v>
      </c>
      <c r="W26" s="86">
        <v>6.5</v>
      </c>
      <c r="X26" s="86">
        <v>5</v>
      </c>
      <c r="Y26" s="86">
        <v>5.25</v>
      </c>
      <c r="Z26" s="86">
        <v>5.75</v>
      </c>
      <c r="AA26" s="86">
        <v>6.25</v>
      </c>
      <c r="AB26" s="86">
        <v>6.25</v>
      </c>
      <c r="AC26" s="86">
        <v>6.5</v>
      </c>
      <c r="AD26" s="86">
        <v>7.5</v>
      </c>
      <c r="AE26" s="86">
        <v>7.5</v>
      </c>
      <c r="AF26" s="86">
        <v>7.25</v>
      </c>
    </row>
    <row r="27" spans="2:35" ht="15.75" thickBot="1" x14ac:dyDescent="0.3">
      <c r="B27" s="76" t="s">
        <v>40</v>
      </c>
      <c r="C27" s="79">
        <v>0.35</v>
      </c>
      <c r="D27" s="74"/>
      <c r="E27" s="82" t="s">
        <v>40</v>
      </c>
      <c r="F27" s="81" t="s">
        <v>64</v>
      </c>
      <c r="G27" s="81">
        <f>2000*C27</f>
        <v>700</v>
      </c>
      <c r="I27" s="23" t="s">
        <v>54</v>
      </c>
      <c r="J27" s="25">
        <v>3</v>
      </c>
      <c r="K27" s="26" t="s">
        <v>31</v>
      </c>
      <c r="L27" s="25">
        <v>300</v>
      </c>
      <c r="T27" s="92" t="s">
        <v>37</v>
      </c>
      <c r="AG27" s="95" t="s">
        <v>38</v>
      </c>
      <c r="AH27" s="22"/>
      <c r="AI27" s="95" t="s">
        <v>39</v>
      </c>
    </row>
    <row r="28" spans="2:35" ht="15.75" thickBot="1" x14ac:dyDescent="0.3">
      <c r="B28" s="76" t="s">
        <v>43</v>
      </c>
      <c r="C28" s="79">
        <v>0.2</v>
      </c>
      <c r="D28" s="74"/>
      <c r="E28" s="82" t="s">
        <v>43</v>
      </c>
      <c r="F28" s="81" t="s">
        <v>60</v>
      </c>
      <c r="G28" s="81">
        <f>2000*C28</f>
        <v>400</v>
      </c>
      <c r="I28" s="23" t="s">
        <v>55</v>
      </c>
      <c r="J28" s="25">
        <v>12</v>
      </c>
      <c r="K28" s="26" t="s">
        <v>56</v>
      </c>
      <c r="L28" s="25">
        <v>2000</v>
      </c>
      <c r="T28" s="92" t="s">
        <v>42</v>
      </c>
      <c r="U28" s="1">
        <v>1</v>
      </c>
      <c r="V28" s="1">
        <v>1</v>
      </c>
      <c r="W28" s="1">
        <v>1</v>
      </c>
      <c r="X28" s="1">
        <v>1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93">
        <f>SUMPRODUCT(U28:AF28,U25:AF25)</f>
        <v>900</v>
      </c>
      <c r="AH28" s="94" t="s">
        <v>66</v>
      </c>
      <c r="AI28" s="93">
        <v>300</v>
      </c>
    </row>
    <row r="29" spans="2:35" x14ac:dyDescent="0.25">
      <c r="T29" s="92" t="s">
        <v>45</v>
      </c>
      <c r="U29" s="1">
        <v>0</v>
      </c>
      <c r="V29" s="1">
        <v>0</v>
      </c>
      <c r="W29" s="1">
        <v>0</v>
      </c>
      <c r="X29" s="1">
        <v>0</v>
      </c>
      <c r="Y29" s="1">
        <v>1</v>
      </c>
      <c r="Z29" s="1">
        <v>1</v>
      </c>
      <c r="AA29" s="1">
        <v>1</v>
      </c>
      <c r="AB29" s="1">
        <v>1</v>
      </c>
      <c r="AC29" s="1">
        <v>0</v>
      </c>
      <c r="AD29" s="1">
        <v>0</v>
      </c>
      <c r="AE29" s="1">
        <v>0</v>
      </c>
      <c r="AF29" s="1">
        <v>0</v>
      </c>
      <c r="AG29" s="93">
        <f>SUMPRODUCT(U29:AF29,U25:AF25)</f>
        <v>700</v>
      </c>
      <c r="AH29" s="94" t="s">
        <v>66</v>
      </c>
      <c r="AI29" s="93">
        <v>700</v>
      </c>
    </row>
    <row r="30" spans="2:35" x14ac:dyDescent="0.25">
      <c r="T30" s="92" t="s">
        <v>48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1</v>
      </c>
      <c r="AD30" s="1">
        <v>1</v>
      </c>
      <c r="AE30" s="1">
        <v>1</v>
      </c>
      <c r="AF30" s="1">
        <v>1</v>
      </c>
      <c r="AG30" s="93">
        <f>SUMPRODUCT(U30:AF30,U25:AF25)</f>
        <v>400</v>
      </c>
      <c r="AH30" s="94" t="s">
        <v>66</v>
      </c>
      <c r="AI30" s="93">
        <v>400</v>
      </c>
    </row>
    <row r="31" spans="2:35" x14ac:dyDescent="0.25">
      <c r="T31" s="92" t="s">
        <v>49</v>
      </c>
      <c r="U31" s="1">
        <v>1</v>
      </c>
      <c r="V31" s="1">
        <v>0</v>
      </c>
      <c r="W31" s="1">
        <v>0</v>
      </c>
      <c r="X31" s="1">
        <v>0</v>
      </c>
      <c r="Y31" s="1">
        <v>1</v>
      </c>
      <c r="Z31" s="1">
        <v>0</v>
      </c>
      <c r="AA31" s="1">
        <v>0</v>
      </c>
      <c r="AB31" s="1">
        <v>0</v>
      </c>
      <c r="AC31" s="1">
        <v>1</v>
      </c>
      <c r="AD31" s="1">
        <v>0</v>
      </c>
      <c r="AE31" s="1">
        <v>0</v>
      </c>
      <c r="AF31" s="1">
        <v>0</v>
      </c>
      <c r="AG31" s="93">
        <f>SUMPRODUCT(U31:AF31,U25:AF25)</f>
        <v>850</v>
      </c>
      <c r="AH31" s="94" t="s">
        <v>66</v>
      </c>
      <c r="AI31" s="93">
        <v>400</v>
      </c>
    </row>
    <row r="32" spans="2:35" x14ac:dyDescent="0.25">
      <c r="T32" s="92" t="s">
        <v>50</v>
      </c>
      <c r="U32" s="1">
        <v>0</v>
      </c>
      <c r="V32" s="1">
        <v>1</v>
      </c>
      <c r="W32" s="1">
        <v>0</v>
      </c>
      <c r="X32" s="1">
        <v>0</v>
      </c>
      <c r="Y32" s="1">
        <v>0</v>
      </c>
      <c r="Z32" s="1">
        <v>1</v>
      </c>
      <c r="AA32" s="1">
        <v>0</v>
      </c>
      <c r="AB32" s="1">
        <v>0</v>
      </c>
      <c r="AC32" s="1">
        <v>0</v>
      </c>
      <c r="AD32" s="1">
        <v>1</v>
      </c>
      <c r="AE32" s="1">
        <v>0</v>
      </c>
      <c r="AF32" s="1">
        <v>0</v>
      </c>
      <c r="AG32" s="93">
        <f>SUMPRODUCT(U32:AF32,U25:AF25)</f>
        <v>550</v>
      </c>
      <c r="AH32" s="94" t="s">
        <v>66</v>
      </c>
      <c r="AI32" s="93">
        <v>550</v>
      </c>
    </row>
    <row r="33" spans="20:35" x14ac:dyDescent="0.25">
      <c r="T33" s="92" t="s">
        <v>52</v>
      </c>
      <c r="U33" s="1">
        <v>0</v>
      </c>
      <c r="V33" s="1">
        <v>0</v>
      </c>
      <c r="W33" s="1">
        <v>1</v>
      </c>
      <c r="X33" s="1">
        <v>0</v>
      </c>
      <c r="Y33" s="1">
        <v>0</v>
      </c>
      <c r="Z33" s="1">
        <v>0</v>
      </c>
      <c r="AA33" s="1">
        <v>1</v>
      </c>
      <c r="AB33" s="1">
        <v>0</v>
      </c>
      <c r="AC33" s="1">
        <v>0</v>
      </c>
      <c r="AD33" s="1">
        <v>0</v>
      </c>
      <c r="AE33" s="1">
        <v>1</v>
      </c>
      <c r="AF33" s="1">
        <v>0</v>
      </c>
      <c r="AG33" s="93">
        <f>SUMPRODUCT(U33:AF33,U25:AF25)</f>
        <v>300</v>
      </c>
      <c r="AH33" s="94" t="s">
        <v>66</v>
      </c>
      <c r="AI33" s="93">
        <v>300</v>
      </c>
    </row>
    <row r="34" spans="20:35" x14ac:dyDescent="0.25">
      <c r="T34" s="92" t="s">
        <v>54</v>
      </c>
      <c r="U34" s="1">
        <v>0</v>
      </c>
      <c r="V34" s="1">
        <v>0</v>
      </c>
      <c r="W34" s="1">
        <v>0</v>
      </c>
      <c r="X34" s="1">
        <v>1</v>
      </c>
      <c r="Y34" s="1">
        <v>0</v>
      </c>
      <c r="Z34" s="1">
        <v>0</v>
      </c>
      <c r="AA34" s="1">
        <v>0</v>
      </c>
      <c r="AB34" s="1">
        <v>1</v>
      </c>
      <c r="AC34" s="1">
        <v>0</v>
      </c>
      <c r="AD34" s="1">
        <v>0</v>
      </c>
      <c r="AE34" s="1">
        <v>0</v>
      </c>
      <c r="AF34" s="1">
        <v>1</v>
      </c>
      <c r="AG34" s="93">
        <f>SUMPRODUCT(U34:AF34,U25:AF25)</f>
        <v>300</v>
      </c>
      <c r="AH34" s="94" t="s">
        <v>66</v>
      </c>
      <c r="AI34" s="93">
        <v>300</v>
      </c>
    </row>
    <row r="35" spans="20:35" x14ac:dyDescent="0.25">
      <c r="T35" s="92" t="s">
        <v>55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93">
        <f>SUMPRODUCT(U35:AF35,U25:AF25)</f>
        <v>2000</v>
      </c>
      <c r="AH35" s="94" t="s">
        <v>56</v>
      </c>
      <c r="AI35" s="93">
        <v>2000</v>
      </c>
    </row>
  </sheetData>
  <mergeCells count="31">
    <mergeCell ref="G18:G20"/>
    <mergeCell ref="F18:F20"/>
    <mergeCell ref="B20:C20"/>
    <mergeCell ref="B25:C25"/>
    <mergeCell ref="C18:C19"/>
    <mergeCell ref="E18:E19"/>
    <mergeCell ref="B18:B19"/>
    <mergeCell ref="T12:T13"/>
    <mergeCell ref="AJ2:AN2"/>
    <mergeCell ref="AK3:AK4"/>
    <mergeCell ref="AM3:AM4"/>
    <mergeCell ref="AN3:AN4"/>
    <mergeCell ref="AE10:AL10"/>
    <mergeCell ref="Y12:Y13"/>
    <mergeCell ref="T2:T3"/>
    <mergeCell ref="U2:X2"/>
    <mergeCell ref="Y2:Y3"/>
    <mergeCell ref="U23:AH23"/>
    <mergeCell ref="AP2:AT3"/>
    <mergeCell ref="AQ4:AQ5"/>
    <mergeCell ref="AS4:AS5"/>
    <mergeCell ref="AT4:AT5"/>
    <mergeCell ref="Z12:Z13"/>
    <mergeCell ref="AA12:AA13"/>
    <mergeCell ref="AD10:AD11"/>
    <mergeCell ref="AA2:AA3"/>
    <mergeCell ref="AD3:AD4"/>
    <mergeCell ref="AE3:AH3"/>
    <mergeCell ref="AD2:AH2"/>
    <mergeCell ref="Z2:Z3"/>
    <mergeCell ref="U12:X12"/>
  </mergeCells>
  <phoneticPr fontId="3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44F9F-68EB-49B8-B039-54F5F7098808}">
  <dimension ref="B1:Q28"/>
  <sheetViews>
    <sheetView zoomScale="95" zoomScaleNormal="95" workbookViewId="0">
      <selection activeCell="U5" sqref="U5"/>
    </sheetView>
  </sheetViews>
  <sheetFormatPr baseColWidth="10" defaultColWidth="9.140625" defaultRowHeight="15" x14ac:dyDescent="0.25"/>
  <cols>
    <col min="2" max="2" width="14.7109375" customWidth="1"/>
    <col min="3" max="3" width="5.7109375" customWidth="1"/>
    <col min="4" max="5" width="6.28515625" customWidth="1"/>
    <col min="6" max="6" width="5.5703125" customWidth="1"/>
    <col min="7" max="7" width="6.140625" customWidth="1"/>
    <col min="8" max="8" width="5.28515625" customWidth="1"/>
    <col min="9" max="10" width="6.42578125" customWidth="1"/>
    <col min="11" max="11" width="6.7109375" customWidth="1"/>
    <col min="12" max="12" width="6.42578125" customWidth="1"/>
    <col min="13" max="13" width="6.140625" customWidth="1"/>
    <col min="14" max="14" width="5.7109375" customWidth="1"/>
    <col min="15" max="15" width="6.28515625" customWidth="1"/>
    <col min="16" max="16" width="2.7109375" customWidth="1"/>
    <col min="17" max="17" width="5.28515625" customWidth="1"/>
  </cols>
  <sheetData>
    <row r="1" spans="2:17" x14ac:dyDescent="0.25">
      <c r="C1" s="99" t="s">
        <v>65</v>
      </c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</row>
    <row r="2" spans="2:17" x14ac:dyDescent="0.25">
      <c r="C2" s="27" t="s">
        <v>0</v>
      </c>
      <c r="D2" s="27" t="s">
        <v>1</v>
      </c>
      <c r="E2" s="27" t="s">
        <v>2</v>
      </c>
      <c r="F2" s="27" t="s">
        <v>3</v>
      </c>
      <c r="G2" s="27" t="s">
        <v>4</v>
      </c>
      <c r="H2" s="27" t="s">
        <v>5</v>
      </c>
      <c r="I2" s="27" t="s">
        <v>6</v>
      </c>
      <c r="J2" s="27" t="s">
        <v>7</v>
      </c>
      <c r="K2" s="27" t="s">
        <v>8</v>
      </c>
      <c r="L2" s="27" t="s">
        <v>9</v>
      </c>
      <c r="M2" s="27" t="s">
        <v>10</v>
      </c>
      <c r="N2" s="27" t="s">
        <v>11</v>
      </c>
      <c r="O2" s="96" t="s">
        <v>12</v>
      </c>
    </row>
    <row r="3" spans="2:17" x14ac:dyDescent="0.25">
      <c r="B3" s="92" t="s">
        <v>20</v>
      </c>
      <c r="C3" s="97">
        <v>600</v>
      </c>
      <c r="D3" s="97">
        <v>0</v>
      </c>
      <c r="E3" s="97">
        <v>0</v>
      </c>
      <c r="F3" s="97">
        <v>300</v>
      </c>
      <c r="G3" s="97">
        <v>150</v>
      </c>
      <c r="H3" s="97">
        <v>550</v>
      </c>
      <c r="I3" s="97">
        <v>0</v>
      </c>
      <c r="J3" s="97">
        <v>0</v>
      </c>
      <c r="K3" s="97">
        <v>100</v>
      </c>
      <c r="L3" s="97">
        <v>0</v>
      </c>
      <c r="M3" s="97">
        <v>300</v>
      </c>
      <c r="N3" s="97">
        <v>0</v>
      </c>
      <c r="O3" s="98">
        <f>SUMPRODUCT(C4:N4,C3:N3)</f>
        <v>11200</v>
      </c>
    </row>
    <row r="4" spans="2:17" x14ac:dyDescent="0.25">
      <c r="B4" s="92" t="s">
        <v>29</v>
      </c>
      <c r="C4" s="86">
        <v>4.75</v>
      </c>
      <c r="D4" s="86">
        <v>6.5</v>
      </c>
      <c r="E4" s="86">
        <v>6.5</v>
      </c>
      <c r="F4" s="86">
        <v>5</v>
      </c>
      <c r="G4" s="86">
        <v>5.25</v>
      </c>
      <c r="H4" s="86">
        <v>5.75</v>
      </c>
      <c r="I4" s="86">
        <v>6.25</v>
      </c>
      <c r="J4" s="86">
        <v>6.25</v>
      </c>
      <c r="K4" s="86">
        <v>6.5</v>
      </c>
      <c r="L4" s="86">
        <v>7.5</v>
      </c>
      <c r="M4" s="86">
        <v>7.5</v>
      </c>
      <c r="N4" s="86">
        <v>7.25</v>
      </c>
    </row>
    <row r="5" spans="2:17" x14ac:dyDescent="0.25">
      <c r="B5" s="92" t="s">
        <v>37</v>
      </c>
      <c r="O5" s="95" t="s">
        <v>38</v>
      </c>
      <c r="P5" s="22"/>
      <c r="Q5" s="95" t="s">
        <v>39</v>
      </c>
    </row>
    <row r="6" spans="2:17" x14ac:dyDescent="0.25">
      <c r="B6" s="92" t="s">
        <v>42</v>
      </c>
      <c r="C6" s="1">
        <v>1</v>
      </c>
      <c r="D6" s="1">
        <v>1</v>
      </c>
      <c r="E6" s="1">
        <v>1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93">
        <f>SUMPRODUCT(C6:N6,C3:N3)</f>
        <v>900</v>
      </c>
      <c r="P6" s="94" t="s">
        <v>66</v>
      </c>
      <c r="Q6" s="93">
        <v>300</v>
      </c>
    </row>
    <row r="7" spans="2:17" x14ac:dyDescent="0.25">
      <c r="B7" s="92" t="s">
        <v>45</v>
      </c>
      <c r="C7" s="1">
        <v>0</v>
      </c>
      <c r="D7" s="1">
        <v>0</v>
      </c>
      <c r="E7" s="1">
        <v>0</v>
      </c>
      <c r="F7" s="1">
        <v>0</v>
      </c>
      <c r="G7" s="1">
        <v>1</v>
      </c>
      <c r="H7" s="1">
        <v>1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93">
        <f>SUMPRODUCT(C7:N7,C3:N3)</f>
        <v>700</v>
      </c>
      <c r="P7" s="94" t="s">
        <v>66</v>
      </c>
      <c r="Q7" s="93">
        <v>700</v>
      </c>
    </row>
    <row r="8" spans="2:17" x14ac:dyDescent="0.25">
      <c r="B8" s="92" t="s">
        <v>48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</v>
      </c>
      <c r="L8" s="1">
        <v>1</v>
      </c>
      <c r="M8" s="1">
        <v>1</v>
      </c>
      <c r="N8" s="1">
        <v>1</v>
      </c>
      <c r="O8" s="93">
        <f>SUMPRODUCT(C8:N8,C3:N3)</f>
        <v>400</v>
      </c>
      <c r="P8" s="94" t="s">
        <v>66</v>
      </c>
      <c r="Q8" s="93">
        <v>400</v>
      </c>
    </row>
    <row r="9" spans="2:17" x14ac:dyDescent="0.25">
      <c r="B9" s="92" t="s">
        <v>49</v>
      </c>
      <c r="C9" s="1">
        <v>1</v>
      </c>
      <c r="D9" s="1">
        <v>0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1</v>
      </c>
      <c r="L9" s="1">
        <v>0</v>
      </c>
      <c r="M9" s="1">
        <v>0</v>
      </c>
      <c r="N9" s="1">
        <v>0</v>
      </c>
      <c r="O9" s="93">
        <f>SUMPRODUCT(C9:N9,C3:N3)</f>
        <v>850</v>
      </c>
      <c r="P9" s="94" t="s">
        <v>66</v>
      </c>
      <c r="Q9" s="93">
        <v>400</v>
      </c>
    </row>
    <row r="10" spans="2:17" x14ac:dyDescent="0.25">
      <c r="B10" s="92" t="s">
        <v>50</v>
      </c>
      <c r="C10" s="1">
        <v>0</v>
      </c>
      <c r="D10" s="1">
        <v>1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1">
        <v>0</v>
      </c>
      <c r="O10" s="93">
        <f>SUMPRODUCT(C10:N10,C3:N3)</f>
        <v>550</v>
      </c>
      <c r="P10" s="94" t="s">
        <v>66</v>
      </c>
      <c r="Q10" s="93">
        <v>550</v>
      </c>
    </row>
    <row r="11" spans="2:17" x14ac:dyDescent="0.25">
      <c r="B11" s="92" t="s">
        <v>52</v>
      </c>
      <c r="C11" s="1">
        <v>0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1</v>
      </c>
      <c r="N11" s="1">
        <v>0</v>
      </c>
      <c r="O11" s="93">
        <f>SUMPRODUCT(C11:N11,C3:N3)</f>
        <v>300</v>
      </c>
      <c r="P11" s="94" t="s">
        <v>66</v>
      </c>
      <c r="Q11" s="93">
        <v>300</v>
      </c>
    </row>
    <row r="12" spans="2:17" x14ac:dyDescent="0.25">
      <c r="B12" s="92" t="s">
        <v>54</v>
      </c>
      <c r="C12" s="1">
        <v>0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1</v>
      </c>
      <c r="K12" s="1">
        <v>0</v>
      </c>
      <c r="L12" s="1">
        <v>0</v>
      </c>
      <c r="M12" s="1">
        <v>0</v>
      </c>
      <c r="N12" s="1">
        <v>1</v>
      </c>
      <c r="O12" s="93">
        <f>SUMPRODUCT(C12:N12,C3:N3)</f>
        <v>300</v>
      </c>
      <c r="P12" s="94" t="s">
        <v>66</v>
      </c>
      <c r="Q12" s="93">
        <v>300</v>
      </c>
    </row>
    <row r="13" spans="2:17" x14ac:dyDescent="0.25">
      <c r="B13" s="92" t="s">
        <v>55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93">
        <f>SUMPRODUCT(C13:N13,C3:N3)</f>
        <v>2000</v>
      </c>
      <c r="P13" s="94" t="s">
        <v>56</v>
      </c>
      <c r="Q13" s="93">
        <v>2000</v>
      </c>
    </row>
    <row r="14" spans="2:17" x14ac:dyDescent="0.25">
      <c r="B14" s="4"/>
      <c r="P14" s="91"/>
    </row>
    <row r="15" spans="2:17" x14ac:dyDescent="0.25">
      <c r="B15" s="4"/>
      <c r="P15" s="91"/>
    </row>
    <row r="16" spans="2:17" x14ac:dyDescent="0.25">
      <c r="C16" s="99" t="s">
        <v>67</v>
      </c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</row>
    <row r="17" spans="2:17" x14ac:dyDescent="0.25">
      <c r="C17" s="27" t="s">
        <v>0</v>
      </c>
      <c r="D17" s="27" t="s">
        <v>1</v>
      </c>
      <c r="E17" s="27" t="s">
        <v>2</v>
      </c>
      <c r="F17" s="27" t="s">
        <v>3</v>
      </c>
      <c r="G17" s="27" t="s">
        <v>4</v>
      </c>
      <c r="H17" s="27" t="s">
        <v>5</v>
      </c>
      <c r="I17" s="27" t="s">
        <v>6</v>
      </c>
      <c r="J17" s="27" t="s">
        <v>7</v>
      </c>
      <c r="K17" s="27" t="s">
        <v>8</v>
      </c>
      <c r="L17" s="27" t="s">
        <v>9</v>
      </c>
      <c r="M17" s="27" t="s">
        <v>10</v>
      </c>
      <c r="N17" s="27" t="s">
        <v>11</v>
      </c>
      <c r="O17" s="96" t="s">
        <v>12</v>
      </c>
    </row>
    <row r="18" spans="2:17" x14ac:dyDescent="0.25">
      <c r="B18" s="92" t="s">
        <v>20</v>
      </c>
      <c r="C18" s="97">
        <v>1</v>
      </c>
      <c r="D18" s="97">
        <v>1</v>
      </c>
      <c r="E18" s="97">
        <v>1</v>
      </c>
      <c r="F18" s="97">
        <v>1</v>
      </c>
      <c r="G18" s="97">
        <v>1</v>
      </c>
      <c r="H18" s="97">
        <v>1</v>
      </c>
      <c r="I18" s="97">
        <v>1</v>
      </c>
      <c r="J18" s="97">
        <v>1</v>
      </c>
      <c r="K18" s="97">
        <v>1</v>
      </c>
      <c r="L18" s="97">
        <v>1</v>
      </c>
      <c r="M18" s="97">
        <v>1</v>
      </c>
      <c r="N18" s="97">
        <v>1</v>
      </c>
      <c r="O18" s="98">
        <f>SUMPRODUCT(C19:N19,C18:N18)</f>
        <v>75</v>
      </c>
    </row>
    <row r="19" spans="2:17" x14ac:dyDescent="0.25">
      <c r="B19" s="92" t="s">
        <v>29</v>
      </c>
      <c r="C19" s="86">
        <v>4.75</v>
      </c>
      <c r="D19" s="86">
        <v>6.5</v>
      </c>
      <c r="E19" s="86">
        <v>6.5</v>
      </c>
      <c r="F19" s="86">
        <v>5</v>
      </c>
      <c r="G19" s="86">
        <v>5.25</v>
      </c>
      <c r="H19" s="86">
        <v>5.75</v>
      </c>
      <c r="I19" s="86">
        <v>6.25</v>
      </c>
      <c r="J19" s="86">
        <v>6.25</v>
      </c>
      <c r="K19" s="86">
        <v>6.5</v>
      </c>
      <c r="L19" s="86">
        <v>7.5</v>
      </c>
      <c r="M19" s="86">
        <v>7.5</v>
      </c>
      <c r="N19" s="86">
        <v>7.25</v>
      </c>
    </row>
    <row r="20" spans="2:17" x14ac:dyDescent="0.25">
      <c r="B20" s="92" t="s">
        <v>37</v>
      </c>
      <c r="O20" s="95" t="s">
        <v>38</v>
      </c>
      <c r="P20" s="22"/>
      <c r="Q20" s="95" t="s">
        <v>39</v>
      </c>
    </row>
    <row r="21" spans="2:17" x14ac:dyDescent="0.25">
      <c r="B21" s="92" t="s">
        <v>42</v>
      </c>
      <c r="C21" s="1">
        <v>1</v>
      </c>
      <c r="D21" s="1">
        <v>1</v>
      </c>
      <c r="E21" s="1">
        <v>1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93">
        <f>SUMPRODUCT(C21:N21,C18:N18)</f>
        <v>4</v>
      </c>
      <c r="P21" s="94" t="s">
        <v>66</v>
      </c>
      <c r="Q21" s="93">
        <v>300</v>
      </c>
    </row>
    <row r="22" spans="2:17" x14ac:dyDescent="0.25">
      <c r="B22" s="92" t="s">
        <v>45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  <c r="H22" s="1">
        <v>1</v>
      </c>
      <c r="I22" s="1">
        <v>1</v>
      </c>
      <c r="J22" s="1">
        <v>1</v>
      </c>
      <c r="K22" s="1">
        <v>0</v>
      </c>
      <c r="L22" s="1">
        <v>0</v>
      </c>
      <c r="M22" s="1">
        <v>0</v>
      </c>
      <c r="N22" s="1">
        <v>0</v>
      </c>
      <c r="O22" s="93">
        <f>SUMPRODUCT(C22:N22,C18:N18)</f>
        <v>4</v>
      </c>
      <c r="P22" s="94" t="s">
        <v>66</v>
      </c>
      <c r="Q22" s="93">
        <v>700</v>
      </c>
    </row>
    <row r="23" spans="2:17" x14ac:dyDescent="0.25">
      <c r="B23" s="92" t="s">
        <v>48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1</v>
      </c>
      <c r="L23" s="1">
        <v>1</v>
      </c>
      <c r="M23" s="1">
        <v>1</v>
      </c>
      <c r="N23" s="1">
        <v>1</v>
      </c>
      <c r="O23" s="93">
        <f>SUMPRODUCT(C23:N23,C18:N18)</f>
        <v>4</v>
      </c>
      <c r="P23" s="94" t="s">
        <v>66</v>
      </c>
      <c r="Q23" s="93">
        <v>400</v>
      </c>
    </row>
    <row r="24" spans="2:17" x14ac:dyDescent="0.25">
      <c r="B24" s="92" t="s">
        <v>49</v>
      </c>
      <c r="C24" s="1">
        <v>1</v>
      </c>
      <c r="D24" s="1">
        <v>0</v>
      </c>
      <c r="E24" s="1">
        <v>0</v>
      </c>
      <c r="F24" s="1">
        <v>0</v>
      </c>
      <c r="G24" s="1">
        <v>1</v>
      </c>
      <c r="H24" s="1">
        <v>0</v>
      </c>
      <c r="I24" s="1">
        <v>0</v>
      </c>
      <c r="J24" s="1">
        <v>0</v>
      </c>
      <c r="K24" s="1">
        <v>1</v>
      </c>
      <c r="L24" s="1">
        <v>0</v>
      </c>
      <c r="M24" s="1">
        <v>0</v>
      </c>
      <c r="N24" s="1">
        <v>0</v>
      </c>
      <c r="O24" s="93">
        <f>SUMPRODUCT(C24:N24,C18:N18)</f>
        <v>3</v>
      </c>
      <c r="P24" s="94" t="s">
        <v>66</v>
      </c>
      <c r="Q24" s="93">
        <v>400</v>
      </c>
    </row>
    <row r="25" spans="2:17" x14ac:dyDescent="0.25">
      <c r="B25" s="92" t="s">
        <v>50</v>
      </c>
      <c r="C25" s="1">
        <v>0</v>
      </c>
      <c r="D25" s="1">
        <v>1</v>
      </c>
      <c r="E25" s="1">
        <v>0</v>
      </c>
      <c r="F25" s="1">
        <v>0</v>
      </c>
      <c r="G25" s="1">
        <v>0</v>
      </c>
      <c r="H25" s="1">
        <v>1</v>
      </c>
      <c r="I25" s="1">
        <v>0</v>
      </c>
      <c r="J25" s="1">
        <v>0</v>
      </c>
      <c r="K25" s="1">
        <v>0</v>
      </c>
      <c r="L25" s="1">
        <v>1</v>
      </c>
      <c r="M25" s="1">
        <v>0</v>
      </c>
      <c r="N25" s="1">
        <v>0</v>
      </c>
      <c r="O25" s="93">
        <f>SUMPRODUCT(C25:N25,C18:N18)</f>
        <v>3</v>
      </c>
      <c r="P25" s="94" t="s">
        <v>66</v>
      </c>
      <c r="Q25" s="93">
        <v>550</v>
      </c>
    </row>
    <row r="26" spans="2:17" x14ac:dyDescent="0.25">
      <c r="B26" s="92" t="s">
        <v>52</v>
      </c>
      <c r="C26" s="1">
        <v>0</v>
      </c>
      <c r="D26" s="1">
        <v>0</v>
      </c>
      <c r="E26" s="1">
        <v>1</v>
      </c>
      <c r="F26" s="1">
        <v>0</v>
      </c>
      <c r="G26" s="1">
        <v>0</v>
      </c>
      <c r="H26" s="1">
        <v>0</v>
      </c>
      <c r="I26" s="1">
        <v>1</v>
      </c>
      <c r="J26" s="1">
        <v>0</v>
      </c>
      <c r="K26" s="1">
        <v>0</v>
      </c>
      <c r="L26" s="1">
        <v>0</v>
      </c>
      <c r="M26" s="1">
        <v>1</v>
      </c>
      <c r="N26" s="1">
        <v>0</v>
      </c>
      <c r="O26" s="93">
        <f>SUMPRODUCT(C26:N26,C18:N18)</f>
        <v>3</v>
      </c>
      <c r="P26" s="94" t="s">
        <v>66</v>
      </c>
      <c r="Q26" s="93">
        <v>300</v>
      </c>
    </row>
    <row r="27" spans="2:17" x14ac:dyDescent="0.25">
      <c r="B27" s="92" t="s">
        <v>54</v>
      </c>
      <c r="C27" s="1">
        <v>0</v>
      </c>
      <c r="D27" s="1">
        <v>0</v>
      </c>
      <c r="E27" s="1">
        <v>0</v>
      </c>
      <c r="F27" s="1">
        <v>1</v>
      </c>
      <c r="G27" s="1">
        <v>0</v>
      </c>
      <c r="H27" s="1">
        <v>0</v>
      </c>
      <c r="I27" s="1">
        <v>0</v>
      </c>
      <c r="J27" s="1">
        <v>1</v>
      </c>
      <c r="K27" s="1">
        <v>0</v>
      </c>
      <c r="L27" s="1">
        <v>0</v>
      </c>
      <c r="M27" s="1">
        <v>0</v>
      </c>
      <c r="N27" s="1">
        <v>1</v>
      </c>
      <c r="O27" s="93">
        <f>SUMPRODUCT(C27:N27,C18:N18)</f>
        <v>3</v>
      </c>
      <c r="P27" s="94" t="s">
        <v>66</v>
      </c>
      <c r="Q27" s="93">
        <v>300</v>
      </c>
    </row>
    <row r="28" spans="2:17" x14ac:dyDescent="0.25">
      <c r="B28" s="92" t="s">
        <v>55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93">
        <f>SUMPRODUCT(C28:N28,C18:N18)</f>
        <v>12</v>
      </c>
      <c r="P28" s="94" t="s">
        <v>56</v>
      </c>
      <c r="Q28" s="93">
        <v>2000</v>
      </c>
    </row>
  </sheetData>
  <mergeCells count="2">
    <mergeCell ref="C16:P16"/>
    <mergeCell ref="C1:P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33A6D-76ED-43F8-9427-E129832A67B7}">
  <dimension ref="A2:N28"/>
  <sheetViews>
    <sheetView workbookViewId="0">
      <selection activeCell="O4" sqref="O4"/>
    </sheetView>
  </sheetViews>
  <sheetFormatPr baseColWidth="10" defaultColWidth="9.140625" defaultRowHeight="15" x14ac:dyDescent="0.25"/>
  <cols>
    <col min="1" max="1" width="4.7109375" customWidth="1"/>
    <col min="2" max="2" width="14.7109375" customWidth="1"/>
    <col min="3" max="3" width="12.42578125" bestFit="1" customWidth="1"/>
    <col min="4" max="4" width="15.85546875" customWidth="1"/>
    <col min="5" max="5" width="15.28515625" customWidth="1"/>
    <col min="10" max="10" width="7.140625" customWidth="1"/>
    <col min="11" max="11" width="8.7109375" customWidth="1"/>
    <col min="12" max="12" width="13.28515625" customWidth="1"/>
    <col min="13" max="13" width="38.85546875" customWidth="1"/>
    <col min="14" max="14" width="19" customWidth="1"/>
    <col min="15" max="15" width="54.140625" customWidth="1"/>
  </cols>
  <sheetData>
    <row r="2" spans="1:14" ht="45" x14ac:dyDescent="0.25">
      <c r="B2" s="5" t="s">
        <v>68</v>
      </c>
      <c r="C2" s="6" t="s">
        <v>69</v>
      </c>
      <c r="D2" s="6" t="s">
        <v>70</v>
      </c>
      <c r="E2" s="6" t="s">
        <v>71</v>
      </c>
      <c r="J2" s="16" t="s">
        <v>72</v>
      </c>
      <c r="K2" s="17" t="s">
        <v>73</v>
      </c>
      <c r="L2" s="17" t="s">
        <v>74</v>
      </c>
      <c r="M2" s="18" t="s">
        <v>75</v>
      </c>
      <c r="N2" s="18" t="s">
        <v>76</v>
      </c>
    </row>
    <row r="3" spans="1:14" x14ac:dyDescent="0.25">
      <c r="B3" s="7" t="s">
        <v>77</v>
      </c>
      <c r="C3" s="8">
        <v>6</v>
      </c>
      <c r="D3" s="8">
        <v>10.5</v>
      </c>
      <c r="E3" s="8">
        <v>48000</v>
      </c>
      <c r="J3" s="14">
        <v>0</v>
      </c>
      <c r="K3" s="14">
        <v>0</v>
      </c>
      <c r="L3" s="14">
        <v>0</v>
      </c>
      <c r="M3" s="14" t="s">
        <v>78</v>
      </c>
      <c r="N3" s="14">
        <f>((3600)*0)+((5400)*0)</f>
        <v>0</v>
      </c>
    </row>
    <row r="4" spans="1:14" ht="26.25" x14ac:dyDescent="0.25">
      <c r="B4" s="9" t="s">
        <v>79</v>
      </c>
      <c r="C4" s="8">
        <v>4</v>
      </c>
      <c r="D4" s="8">
        <v>2</v>
      </c>
      <c r="E4" s="8">
        <v>20000</v>
      </c>
      <c r="J4" s="14">
        <v>1</v>
      </c>
      <c r="K4" s="14">
        <v>0</v>
      </c>
      <c r="L4" s="14">
        <v>4571.4285714285998</v>
      </c>
      <c r="M4" s="14" t="s">
        <v>80</v>
      </c>
      <c r="N4" s="14">
        <f>((3600)*0)+((5400)*4571.4285714286)</f>
        <v>24685714.28571444</v>
      </c>
    </row>
    <row r="5" spans="1:14" x14ac:dyDescent="0.25">
      <c r="B5" s="7" t="s">
        <v>81</v>
      </c>
      <c r="C5" s="8">
        <v>1</v>
      </c>
      <c r="D5" s="8">
        <v>0</v>
      </c>
      <c r="E5" s="8">
        <v>3500</v>
      </c>
      <c r="J5" s="19">
        <v>2</v>
      </c>
      <c r="K5" s="19">
        <v>8000</v>
      </c>
      <c r="L5" s="19">
        <v>0</v>
      </c>
      <c r="M5" s="19" t="s">
        <v>82</v>
      </c>
      <c r="N5" s="19">
        <f>((3600)*8000)+((5400)*0)</f>
        <v>28800000</v>
      </c>
    </row>
    <row r="6" spans="1:14" x14ac:dyDescent="0.25">
      <c r="B6" s="10" t="s">
        <v>83</v>
      </c>
      <c r="C6" s="11">
        <v>3600</v>
      </c>
      <c r="D6" s="11">
        <v>5400</v>
      </c>
      <c r="E6" s="12"/>
      <c r="J6" s="19">
        <v>3</v>
      </c>
      <c r="K6" s="19">
        <v>3800</v>
      </c>
      <c r="L6" s="19">
        <v>2400</v>
      </c>
      <c r="M6" s="19" t="s">
        <v>84</v>
      </c>
      <c r="N6" s="19">
        <f>((3600)*3800)+((5400)*2400)</f>
        <v>26640000</v>
      </c>
    </row>
    <row r="7" spans="1:14" ht="30" x14ac:dyDescent="0.25">
      <c r="J7" s="15">
        <v>4</v>
      </c>
      <c r="K7" s="20">
        <v>3500</v>
      </c>
      <c r="L7" s="20">
        <v>2571.4285714286002</v>
      </c>
      <c r="M7" s="20" t="s">
        <v>85</v>
      </c>
      <c r="N7" s="20">
        <f>((3600)*3500)+((5400)*2571.4285714286)</f>
        <v>26485714.28571444</v>
      </c>
    </row>
    <row r="8" spans="1:14" x14ac:dyDescent="0.25">
      <c r="B8" s="158" t="s">
        <v>86</v>
      </c>
      <c r="C8" s="158"/>
      <c r="D8" s="158"/>
      <c r="E8" s="158"/>
      <c r="F8" s="158"/>
      <c r="G8" s="158"/>
      <c r="J8" s="19">
        <v>5</v>
      </c>
      <c r="K8" s="19">
        <v>0</v>
      </c>
      <c r="L8" s="19">
        <v>10000</v>
      </c>
      <c r="M8" s="19" t="s">
        <v>87</v>
      </c>
      <c r="N8" s="19">
        <f>((3600)*0)+((5400)*10000)</f>
        <v>54000000</v>
      </c>
    </row>
    <row r="9" spans="1:14" x14ac:dyDescent="0.25">
      <c r="B9" s="3" t="s">
        <v>73</v>
      </c>
      <c r="C9" s="157" t="s">
        <v>88</v>
      </c>
      <c r="D9" s="157"/>
      <c r="E9" s="157"/>
      <c r="F9" s="157"/>
      <c r="G9" s="157"/>
      <c r="J9" s="19">
        <v>6</v>
      </c>
      <c r="K9" s="19">
        <v>5000</v>
      </c>
      <c r="L9" s="19">
        <v>0</v>
      </c>
      <c r="M9" s="19" t="s">
        <v>89</v>
      </c>
      <c r="N9" s="19">
        <f>((3600)*5000)+((5400)*0)</f>
        <v>18000000</v>
      </c>
    </row>
    <row r="10" spans="1:14" x14ac:dyDescent="0.25">
      <c r="B10" s="3" t="s">
        <v>74</v>
      </c>
      <c r="C10" s="157" t="s">
        <v>90</v>
      </c>
      <c r="D10" s="157"/>
      <c r="E10" s="157"/>
      <c r="F10" s="157"/>
      <c r="G10" s="157"/>
      <c r="J10" s="19">
        <v>7</v>
      </c>
      <c r="K10" s="19">
        <v>3500</v>
      </c>
      <c r="L10" s="19">
        <v>3000</v>
      </c>
      <c r="M10" s="19" t="s">
        <v>91</v>
      </c>
      <c r="N10" s="19">
        <f>((3600)*3500)+((5400)*3000)</f>
        <v>28800000</v>
      </c>
    </row>
    <row r="11" spans="1:14" x14ac:dyDescent="0.25">
      <c r="J11" s="14">
        <v>8</v>
      </c>
      <c r="K11" s="14">
        <v>3500</v>
      </c>
      <c r="L11" s="14">
        <v>0</v>
      </c>
      <c r="M11" s="14" t="s">
        <v>92</v>
      </c>
      <c r="N11" s="14">
        <f>((3600)*3500)+((5400)*0)</f>
        <v>12600000</v>
      </c>
    </row>
    <row r="12" spans="1:14" x14ac:dyDescent="0.25">
      <c r="B12" s="147" t="s">
        <v>93</v>
      </c>
      <c r="C12" s="148"/>
      <c r="D12" s="148"/>
      <c r="E12" s="148"/>
      <c r="F12" s="148"/>
      <c r="G12" s="149"/>
    </row>
    <row r="13" spans="1:14" ht="38.450000000000003" customHeight="1" x14ac:dyDescent="0.25">
      <c r="B13" s="152" t="s">
        <v>94</v>
      </c>
      <c r="C13" s="153"/>
      <c r="D13" s="4"/>
      <c r="E13" s="4"/>
      <c r="F13" s="4"/>
      <c r="J13" s="16" t="s">
        <v>72</v>
      </c>
      <c r="K13" s="17" t="s">
        <v>73</v>
      </c>
      <c r="L13" s="17" t="s">
        <v>74</v>
      </c>
      <c r="M13" s="18" t="s">
        <v>75</v>
      </c>
      <c r="N13" s="18" t="s">
        <v>76</v>
      </c>
    </row>
    <row r="14" spans="1:14" ht="30" x14ac:dyDescent="0.25">
      <c r="B14" s="13"/>
      <c r="C14" s="13"/>
      <c r="D14" s="4"/>
      <c r="J14" s="20" t="s">
        <v>95</v>
      </c>
      <c r="K14" s="20">
        <v>3500</v>
      </c>
      <c r="L14" s="20">
        <v>2571.4285714286002</v>
      </c>
      <c r="M14" s="20" t="s">
        <v>85</v>
      </c>
      <c r="N14" s="20">
        <f>((3600)*3500)+((5400)*2571.4285714286)</f>
        <v>26485714.28571444</v>
      </c>
    </row>
    <row r="15" spans="1:14" x14ac:dyDescent="0.25">
      <c r="A15" s="154" t="s">
        <v>37</v>
      </c>
      <c r="B15" s="155"/>
      <c r="C15" s="156"/>
      <c r="E15" s="159" t="s">
        <v>96</v>
      </c>
      <c r="F15" s="159"/>
      <c r="G15" s="159"/>
      <c r="J15" s="14" t="s">
        <v>97</v>
      </c>
      <c r="K15" s="14">
        <v>0</v>
      </c>
      <c r="L15" s="14">
        <v>4571.4285714285998</v>
      </c>
      <c r="M15" s="14" t="s">
        <v>80</v>
      </c>
      <c r="N15" s="14">
        <f>((3600)*0)+((5400)*4571.4285714286)</f>
        <v>24685714.28571444</v>
      </c>
    </row>
    <row r="16" spans="1:14" ht="18" customHeight="1" x14ac:dyDescent="0.25">
      <c r="A16" s="2">
        <v>1</v>
      </c>
      <c r="B16" s="150" t="s">
        <v>98</v>
      </c>
      <c r="C16" s="150"/>
      <c r="J16" s="72" t="s">
        <v>99</v>
      </c>
      <c r="K16" s="14">
        <v>3500</v>
      </c>
      <c r="L16" s="14">
        <v>0</v>
      </c>
      <c r="M16" s="14" t="s">
        <v>92</v>
      </c>
      <c r="N16" s="14">
        <f>((3600)*3500)+((5400)*0)</f>
        <v>12600000</v>
      </c>
    </row>
    <row r="17" spans="1:14" x14ac:dyDescent="0.25">
      <c r="A17" s="2">
        <v>2</v>
      </c>
      <c r="B17" s="150" t="s">
        <v>100</v>
      </c>
      <c r="C17" s="150"/>
      <c r="J17" s="14" t="s">
        <v>101</v>
      </c>
      <c r="K17" s="14">
        <v>0</v>
      </c>
      <c r="L17" s="14">
        <v>0</v>
      </c>
      <c r="M17" s="14" t="s">
        <v>78</v>
      </c>
      <c r="N17" s="14">
        <f>((3600)*0)+((5400)*0)</f>
        <v>0</v>
      </c>
    </row>
    <row r="18" spans="1:14" x14ac:dyDescent="0.25">
      <c r="A18" s="2">
        <v>3</v>
      </c>
      <c r="B18" s="150" t="s">
        <v>102</v>
      </c>
      <c r="C18" s="150"/>
    </row>
    <row r="19" spans="1:14" x14ac:dyDescent="0.25">
      <c r="A19" s="1">
        <v>4</v>
      </c>
      <c r="B19" s="151" t="s">
        <v>103</v>
      </c>
      <c r="C19" s="151"/>
    </row>
    <row r="21" spans="1:14" x14ac:dyDescent="0.25">
      <c r="B21" s="160" t="s">
        <v>104</v>
      </c>
      <c r="C21" s="160"/>
    </row>
    <row r="28" spans="1:14" x14ac:dyDescent="0.25">
      <c r="E28" s="146" t="s">
        <v>105</v>
      </c>
      <c r="F28" s="146"/>
    </row>
  </sheetData>
  <mergeCells count="13">
    <mergeCell ref="C10:G10"/>
    <mergeCell ref="C9:G9"/>
    <mergeCell ref="B8:G8"/>
    <mergeCell ref="E15:G15"/>
    <mergeCell ref="B21:C21"/>
    <mergeCell ref="E28:F28"/>
    <mergeCell ref="B12:G12"/>
    <mergeCell ref="B16:C16"/>
    <mergeCell ref="B17:C17"/>
    <mergeCell ref="B18:C18"/>
    <mergeCell ref="B19:C19"/>
    <mergeCell ref="B13:C13"/>
    <mergeCell ref="A15:C15"/>
  </mergeCells>
  <phoneticPr fontId="3" type="noConversion"/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Exercise1</vt:lpstr>
      <vt:lpstr>SOLVER</vt:lpstr>
      <vt:lpstr>Exercise2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Karla Bricelda Aguilar González</dc:creator>
  <cp:keywords/>
  <dc:description/>
  <cp:lastModifiedBy>ANTONIO</cp:lastModifiedBy>
  <cp:revision/>
  <dcterms:created xsi:type="dcterms:W3CDTF">2022-07-12T19:46:09Z</dcterms:created>
  <dcterms:modified xsi:type="dcterms:W3CDTF">2025-06-22T20:33:48Z</dcterms:modified>
  <cp:category/>
  <cp:contentStatus/>
</cp:coreProperties>
</file>