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edcr-my.sharepoint.com/personal/kbaguilar_uned_cr/Documents/Bachillerato Ing.Informática/II CUATRI 2022/03029 - INVESTIGACION DE OPERACIONES/PROYECTO 1/"/>
    </mc:Choice>
  </mc:AlternateContent>
  <xr:revisionPtr revIDLastSave="334" documentId="8_{162B7B5C-FB5A-4055-BB2E-2131849BBBA1}" xr6:coauthVersionLast="47" xr6:coauthVersionMax="47" xr10:uidLastSave="{9983B287-CC8E-4A8C-9EDF-C93C0C0EB3A1}"/>
  <bookViews>
    <workbookView xWindow="-108" yWindow="-108" windowWidth="23256" windowHeight="12456" xr2:uid="{B5924723-4EB8-45CA-8FB9-0B431B9A0786}"/>
  </bookViews>
  <sheets>
    <sheet name="Exercise#1" sheetId="2" r:id="rId1"/>
    <sheet name="Exercise#2" sheetId="1" r:id="rId2"/>
    <sheet name="EX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3" i="2" l="1"/>
  <c r="F15" i="2"/>
  <c r="F14" i="2"/>
</calcChain>
</file>

<file path=xl/sharedStrings.xml><?xml version="1.0" encoding="utf-8"?>
<sst xmlns="http://schemas.openxmlformats.org/spreadsheetml/2006/main" count="97" uniqueCount="75">
  <si>
    <t>Modelo de programación lineal</t>
  </si>
  <si>
    <t>Desición</t>
  </si>
  <si>
    <t>Fuerte (F)</t>
  </si>
  <si>
    <t>Débil (D)</t>
  </si>
  <si>
    <t>Agresiva (A)</t>
  </si>
  <si>
    <t>Básica (B)</t>
  </si>
  <si>
    <t>Conservadora (C)</t>
  </si>
  <si>
    <t>Probabilidad de mercados en la venta 
de papas fritas a nivel nacional</t>
  </si>
  <si>
    <t>Fuerte(F)</t>
  </si>
  <si>
    <t>Débil(D)</t>
  </si>
  <si>
    <t>Valor Esperado (A)</t>
  </si>
  <si>
    <t>Valor Esperado (B)</t>
  </si>
  <si>
    <t>Valor Esperado (C)</t>
  </si>
  <si>
    <t>0.40</t>
  </si>
  <si>
    <t>0.60</t>
  </si>
  <si>
    <t>=</t>
  </si>
  <si>
    <t>150*(0.40)-35*(0.60)</t>
  </si>
  <si>
    <t>120*(0.40)+25*(0.60)</t>
  </si>
  <si>
    <t>30*(0.40)+50*(0.60)</t>
  </si>
  <si>
    <t>Recurso</t>
  </si>
  <si>
    <t>Cantidad de recursos</t>
  </si>
  <si>
    <t>Productos</t>
  </si>
  <si>
    <t>Acondicionadores de aire</t>
  </si>
  <si>
    <t>Ventiladores</t>
  </si>
  <si>
    <t>Utilidad ($)</t>
  </si>
  <si>
    <t>Cableado (horas)</t>
  </si>
  <si>
    <t>Perforación (horas)</t>
  </si>
  <si>
    <t>X</t>
  </si>
  <si>
    <t>Y</t>
  </si>
  <si>
    <t>Cantidad de acondiciondores de aire a fabricar</t>
  </si>
  <si>
    <t>Cantidad de ventiladores de gran tamaño a fabricar</t>
  </si>
  <si>
    <t>Restricciones</t>
  </si>
  <si>
    <t>3x+2y &lt;= 240</t>
  </si>
  <si>
    <t>2x+1y &lt;=140</t>
  </si>
  <si>
    <t>Función objetiva</t>
  </si>
  <si>
    <t>Zmax: 25x + 15y</t>
  </si>
  <si>
    <t>R1</t>
  </si>
  <si>
    <t>R2</t>
  </si>
  <si>
    <t>R3</t>
  </si>
  <si>
    <t>x&gt;=0, y&gt;=0</t>
  </si>
  <si>
    <t>Paso</t>
  </si>
  <si>
    <t>Calculo</t>
  </si>
  <si>
    <t>Modificador</t>
  </si>
  <si>
    <t>Ecuación 1</t>
  </si>
  <si>
    <t>3x1 + 2x2 = 240</t>
  </si>
  <si>
    <t>Ecuación 2</t>
  </si>
  <si>
    <t>2x1 + 1x2 = 140</t>
  </si>
  <si>
    <t>*-2</t>
  </si>
  <si>
    <t>Ecuación 3</t>
  </si>
  <si>
    <t>-4x1 + -2x2 = -280</t>
  </si>
  <si>
    <t>Suma 1 y 3</t>
  </si>
  <si>
    <t>-1x1 = -40</t>
  </si>
  <si>
    <t>Despejamos x1</t>
  </si>
  <si>
    <t>x1 = -40 / (-1)</t>
  </si>
  <si>
    <t>Resultado</t>
  </si>
  <si>
    <t>x = 40</t>
  </si>
  <si>
    <t>Z=25x1+15x2</t>
  </si>
  <si>
    <t>25x1 + 15x2 = 1900</t>
  </si>
  <si>
    <t>Remplazo x1</t>
  </si>
  <si>
    <t>3(40) + 2x2 = 240</t>
  </si>
  <si>
    <t>Restricción 1</t>
  </si>
  <si>
    <t>Despejamos x2</t>
  </si>
  <si>
    <t>120 + 2x2 = 240</t>
  </si>
  <si>
    <t>3x1 + 2x2 &lt;= 240</t>
  </si>
  <si>
    <t>x</t>
  </si>
  <si>
    <t>2x2 = 240 - 120</t>
  </si>
  <si>
    <t>2x1 + 1x2 &lt;= 140</t>
  </si>
  <si>
    <t>y</t>
  </si>
  <si>
    <t>x2 = 120 / 2</t>
  </si>
  <si>
    <t>x1 &gt;=  0, x2 &gt;= 0</t>
  </si>
  <si>
    <t>Restricción 2</t>
  </si>
  <si>
    <t>x2 = 60</t>
  </si>
  <si>
    <t>Zmax = 25x1 + 15x2</t>
  </si>
  <si>
    <t>Zmax = 25(40) + 15(60)</t>
  </si>
  <si>
    <t>Zmax = 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</si>
</sst>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86E9E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99FFCC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rgb="FFDDFFEE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6" borderId="1" xfId="0" applyFont="1" applyFill="1" applyBorder="1"/>
    <xf numFmtId="49" fontId="3" fillId="0" borderId="1" xfId="0" applyNumberFormat="1" applyFont="1" applyBorder="1"/>
    <xf numFmtId="0" fontId="4" fillId="0" borderId="0" xfId="0" applyFont="1"/>
    <xf numFmtId="0" fontId="4" fillId="0" borderId="1" xfId="0" applyFont="1" applyBorder="1"/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0" fontId="4" fillId="0" borderId="1" xfId="0" applyFont="1" applyBorder="1" applyAlignment="1">
      <alignment horizontal="center" vertical="center"/>
    </xf>
    <xf numFmtId="6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1" xfId="0" applyFont="1" applyBorder="1" applyAlignment="1">
      <alignment horizontal="center"/>
    </xf>
    <xf numFmtId="0" fontId="6" fillId="0" borderId="1" xfId="0" applyFont="1" applyBorder="1"/>
    <xf numFmtId="0" fontId="7" fillId="0" borderId="11" xfId="0" applyFont="1" applyBorder="1"/>
    <xf numFmtId="0" fontId="6" fillId="11" borderId="11" xfId="0" applyFont="1" applyFill="1" applyBorder="1"/>
    <xf numFmtId="0" fontId="6" fillId="0" borderId="11" xfId="0" applyFont="1" applyBorder="1"/>
    <xf numFmtId="0" fontId="6" fillId="12" borderId="11" xfId="0" applyFont="1" applyFill="1" applyBorder="1"/>
    <xf numFmtId="0" fontId="8" fillId="0" borderId="0" xfId="0" applyFont="1"/>
    <xf numFmtId="0" fontId="8" fillId="13" borderId="11" xfId="0" applyFont="1" applyFill="1" applyBorder="1"/>
    <xf numFmtId="0" fontId="6" fillId="14" borderId="11" xfId="0" applyFont="1" applyFill="1" applyBorder="1"/>
    <xf numFmtId="0" fontId="8" fillId="14" borderId="12" xfId="0" applyFont="1" applyFill="1" applyBorder="1"/>
    <xf numFmtId="0" fontId="8" fillId="14" borderId="11" xfId="0" applyFont="1" applyFill="1" applyBorder="1"/>
    <xf numFmtId="0" fontId="8" fillId="15" borderId="11" xfId="0" applyFont="1" applyFill="1" applyBorder="1"/>
    <xf numFmtId="0" fontId="8" fillId="15" borderId="13" xfId="0" applyFont="1" applyFill="1" applyBorder="1"/>
    <xf numFmtId="0" fontId="8" fillId="16" borderId="11" xfId="0" applyFont="1" applyFill="1" applyBorder="1"/>
    <xf numFmtId="0" fontId="6" fillId="13" borderId="11" xfId="0" applyFont="1" applyFill="1" applyBorder="1"/>
    <xf numFmtId="0" fontId="6" fillId="17" borderId="11" xfId="0" applyFont="1" applyFill="1" applyBorder="1" applyAlignment="1">
      <alignment horizontal="center"/>
    </xf>
    <xf numFmtId="0" fontId="6" fillId="17" borderId="12" xfId="0" applyFont="1" applyFill="1" applyBorder="1"/>
    <xf numFmtId="0" fontId="6" fillId="17" borderId="1" xfId="0" applyFont="1" applyFill="1" applyBorder="1"/>
    <xf numFmtId="0" fontId="6" fillId="17" borderId="4" xfId="0" applyFont="1" applyFill="1" applyBorder="1"/>
    <xf numFmtId="0" fontId="6" fillId="0" borderId="14" xfId="0" applyFont="1" applyBorder="1"/>
    <xf numFmtId="0" fontId="6" fillId="18" borderId="1" xfId="0" applyFont="1" applyFill="1" applyBorder="1"/>
    <xf numFmtId="0" fontId="7" fillId="19" borderId="1" xfId="0" applyFont="1" applyFill="1" applyBorder="1"/>
    <xf numFmtId="49" fontId="3" fillId="0" borderId="4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/>
    </xf>
    <xf numFmtId="6" fontId="4" fillId="0" borderId="0" xfId="0" applyNumberFormat="1" applyFont="1" applyBorder="1" applyAlignment="1">
      <alignment horizontal="center" vertical="center"/>
    </xf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FFEE"/>
      <color rgb="FF99FFCC"/>
      <color rgb="FF86E9EE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497049</xdr:colOff>
      <xdr:row>0</xdr:row>
      <xdr:rowOff>175260</xdr:rowOff>
    </xdr:from>
    <xdr:to>
      <xdr:col>13</xdr:col>
      <xdr:colOff>541021</xdr:colOff>
      <xdr:row>18</xdr:row>
      <xdr:rowOff>20621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C50023-8B4F-8BBC-87AA-ED16C25EEE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8"/>
        <a:stretch/>
      </xdr:blipFill>
      <xdr:spPr bwMode="auto">
        <a:xfrm>
          <a:off x="5503389" y="175260"/>
          <a:ext cx="4311172" cy="3571541"/>
        </a:xfrm>
        <a:prstGeom prst="rect">
          <a:avLst/>
        </a:prstGeom>
        <a:ln w="28575" cap="flat" cmpd="sng" algn="ctr">
          <a:solidFill>
            <a:srgbClr val="FFC000">
              <a:lumMod val="50000"/>
            </a:srgbClr>
          </a:solidFill>
          <a:prstDash val="solid"/>
          <a:round/>
          <a:headEnd type="none" w="med" len="med"/>
          <a:tailEnd type="none" w="med" len="med"/>
          <a:extLst>
            <a:ext uri="{C807C97D-BFC1-408E-A445-0C87EB9F89A2}">
              <ask:lineSketchStyleProps xmlns:ask="http://schemas.microsoft.com/office/drawing/2018/sketchyshapes" sd="0">
                <a:custGeom>
                  <a:avLst/>
                  <a:gdLst/>
                  <a:ahLst/>
                  <a:cxnLst/>
                  <a:rect l="0" t="0" r="0" b="0"/>
                  <a:pathLst/>
                </a:custGeom>
                <ask:type/>
              </ask:lineSketchStyleProps>
            </a:ext>
          </a:extLst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8C56-72B9-4BA6-AAB4-C19C213BFAD4}">
  <sheetPr>
    <tabColor rgb="FF92D050"/>
  </sheetPr>
  <dimension ref="A1:S27"/>
  <sheetViews>
    <sheetView tabSelected="1" workbookViewId="0">
      <selection activeCell="G21" sqref="G21"/>
    </sheetView>
  </sheetViews>
  <sheetFormatPr defaultRowHeight="14.4" x14ac:dyDescent="0.3"/>
  <cols>
    <col min="2" max="3" width="17.77734375" customWidth="1"/>
    <col min="4" max="4" width="16.5546875" customWidth="1"/>
    <col min="5" max="5" width="3.109375" customWidth="1"/>
  </cols>
  <sheetData>
    <row r="1" spans="1:19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6" x14ac:dyDescent="0.3">
      <c r="A2" s="1"/>
      <c r="B2" s="42" t="s">
        <v>0</v>
      </c>
      <c r="C2" s="42"/>
      <c r="D2" s="42"/>
      <c r="E2" s="42"/>
      <c r="F2" s="4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6.4" customHeight="1" x14ac:dyDescent="0.3">
      <c r="A4" s="1"/>
      <c r="B4" s="43" t="s">
        <v>1</v>
      </c>
      <c r="C4" s="45" t="s">
        <v>7</v>
      </c>
      <c r="D4" s="4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7.399999999999999" customHeight="1" x14ac:dyDescent="0.3">
      <c r="A5" s="1"/>
      <c r="B5" s="44"/>
      <c r="C5" s="4" t="s">
        <v>2</v>
      </c>
      <c r="D5" s="4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.6" x14ac:dyDescent="0.3">
      <c r="A6" s="1"/>
      <c r="B6" s="2" t="s">
        <v>4</v>
      </c>
      <c r="C6" s="3">
        <v>150</v>
      </c>
      <c r="D6" s="3">
        <v>-35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6" x14ac:dyDescent="0.3">
      <c r="A7" s="1"/>
      <c r="B7" s="2" t="s">
        <v>5</v>
      </c>
      <c r="C7" s="3">
        <v>120</v>
      </c>
      <c r="D7" s="3">
        <v>25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6" x14ac:dyDescent="0.3">
      <c r="A8" s="1"/>
      <c r="B8" s="2" t="s">
        <v>6</v>
      </c>
      <c r="C8" s="3">
        <v>30</v>
      </c>
      <c r="D8" s="3">
        <v>50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5.6" x14ac:dyDescent="0.3">
      <c r="A10" s="1"/>
      <c r="B10" s="5" t="s">
        <v>8</v>
      </c>
      <c r="C10" s="7" t="s">
        <v>13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9" ht="15.6" x14ac:dyDescent="0.3">
      <c r="A11" s="1"/>
      <c r="B11" s="5" t="s">
        <v>9</v>
      </c>
      <c r="C11" s="7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9" ht="15.6" x14ac:dyDescent="0.3">
      <c r="A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.6" x14ac:dyDescent="0.3">
      <c r="A13" s="1"/>
      <c r="B13" s="6" t="s">
        <v>10</v>
      </c>
      <c r="C13" s="40" t="s">
        <v>16</v>
      </c>
      <c r="D13" s="41"/>
      <c r="E13" s="3" t="s">
        <v>15</v>
      </c>
      <c r="F13" s="2">
        <f>150*(0.4)-35*(0.6)</f>
        <v>39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5.6" x14ac:dyDescent="0.3">
      <c r="A14" s="1"/>
      <c r="B14" s="6" t="s">
        <v>11</v>
      </c>
      <c r="C14" s="40" t="s">
        <v>17</v>
      </c>
      <c r="D14" s="41"/>
      <c r="E14" s="3" t="s">
        <v>15</v>
      </c>
      <c r="F14" s="2">
        <f>120*(0.4)+25*(0.6)</f>
        <v>63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.6" x14ac:dyDescent="0.3">
      <c r="A15" s="1"/>
      <c r="B15" s="6" t="s">
        <v>12</v>
      </c>
      <c r="C15" s="40" t="s">
        <v>18</v>
      </c>
      <c r="D15" s="41"/>
      <c r="E15" s="3" t="s">
        <v>15</v>
      </c>
      <c r="F15" s="2">
        <f>30*(0.4)+50*(0.6)</f>
        <v>42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5.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5.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5.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.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.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.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.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6" x14ac:dyDescent="0.3">
      <c r="B27" s="1"/>
      <c r="C27" s="1"/>
      <c r="D27" s="1"/>
    </row>
  </sheetData>
  <mergeCells count="6">
    <mergeCell ref="C13:D13"/>
    <mergeCell ref="C14:D14"/>
    <mergeCell ref="C15:D15"/>
    <mergeCell ref="B2:F2"/>
    <mergeCell ref="B4:B5"/>
    <mergeCell ref="C4:D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C29A-1E8B-401B-A55D-58583E018B74}">
  <sheetPr>
    <tabColor rgb="FF00B0F0"/>
  </sheetPr>
  <dimension ref="A1:P18"/>
  <sheetViews>
    <sheetView workbookViewId="0">
      <selection activeCell="B2" sqref="B2:E7"/>
    </sheetView>
  </sheetViews>
  <sheetFormatPr defaultRowHeight="14.4" x14ac:dyDescent="0.3"/>
  <cols>
    <col min="1" max="1" width="3.88671875" customWidth="1"/>
    <col min="2" max="2" width="18.6640625" customWidth="1"/>
    <col min="3" max="3" width="16.5546875" customWidth="1"/>
    <col min="4" max="4" width="13.33203125" customWidth="1"/>
    <col min="5" max="5" width="13.21875" customWidth="1"/>
    <col min="8" max="8" width="12.21875" customWidth="1"/>
    <col min="9" max="9" width="10.6640625" customWidth="1"/>
    <col min="11" max="11" width="15.5546875" customWidth="1"/>
  </cols>
  <sheetData>
    <row r="1" spans="1:16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0.199999999999999" customHeight="1" x14ac:dyDescent="0.3">
      <c r="A2" s="8"/>
      <c r="B2" s="52" t="s">
        <v>19</v>
      </c>
      <c r="C2" s="58" t="s">
        <v>21</v>
      </c>
      <c r="D2" s="59"/>
      <c r="E2" s="55" t="s">
        <v>20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9.6" customHeight="1" x14ac:dyDescent="0.3">
      <c r="A3" s="8"/>
      <c r="B3" s="53"/>
      <c r="C3" s="60"/>
      <c r="D3" s="61"/>
      <c r="E3" s="56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27.6" x14ac:dyDescent="0.3">
      <c r="A4" s="8"/>
      <c r="B4" s="54"/>
      <c r="C4" s="10" t="s">
        <v>22</v>
      </c>
      <c r="D4" s="11" t="s">
        <v>23</v>
      </c>
      <c r="E4" s="57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3">
      <c r="A5" s="8"/>
      <c r="B5" s="9" t="s">
        <v>25</v>
      </c>
      <c r="C5" s="13">
        <v>3</v>
      </c>
      <c r="D5" s="13">
        <v>2</v>
      </c>
      <c r="E5" s="13">
        <v>240</v>
      </c>
      <c r="F5" s="8"/>
      <c r="G5" s="16" t="s">
        <v>27</v>
      </c>
      <c r="H5" s="49" t="s">
        <v>29</v>
      </c>
      <c r="I5" s="49"/>
      <c r="J5" s="49"/>
      <c r="K5" s="49"/>
      <c r="L5" s="8"/>
      <c r="M5" s="8"/>
      <c r="N5" s="8"/>
      <c r="O5" s="8"/>
      <c r="P5" s="8"/>
    </row>
    <row r="6" spans="1:16" x14ac:dyDescent="0.3">
      <c r="A6" s="8"/>
      <c r="B6" s="9" t="s">
        <v>26</v>
      </c>
      <c r="C6" s="13">
        <v>2</v>
      </c>
      <c r="D6" s="13">
        <v>1</v>
      </c>
      <c r="E6" s="13">
        <v>140</v>
      </c>
      <c r="F6" s="8"/>
      <c r="G6" s="16" t="s">
        <v>28</v>
      </c>
      <c r="H6" s="49" t="s">
        <v>30</v>
      </c>
      <c r="I6" s="49"/>
      <c r="J6" s="49"/>
      <c r="K6" s="49"/>
      <c r="L6" s="8"/>
      <c r="M6" s="8"/>
      <c r="N6" s="8"/>
      <c r="O6" s="8"/>
      <c r="P6" s="8"/>
    </row>
    <row r="7" spans="1:16" x14ac:dyDescent="0.3">
      <c r="A7" s="8"/>
      <c r="B7" s="12" t="s">
        <v>24</v>
      </c>
      <c r="C7" s="14">
        <v>25</v>
      </c>
      <c r="D7" s="14">
        <v>15</v>
      </c>
      <c r="E7" s="15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6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3">
      <c r="A9" s="50" t="s">
        <v>31</v>
      </c>
      <c r="B9" s="51"/>
      <c r="C9" s="8"/>
      <c r="D9" s="62" t="s">
        <v>34</v>
      </c>
      <c r="E9" s="62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3">
      <c r="A10" s="13" t="s">
        <v>36</v>
      </c>
      <c r="B10" s="9" t="s">
        <v>32</v>
      </c>
      <c r="C10" s="8"/>
      <c r="D10" s="47" t="s">
        <v>35</v>
      </c>
      <c r="E10" s="4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3">
      <c r="A11" s="13" t="s">
        <v>37</v>
      </c>
      <c r="B11" s="9" t="s">
        <v>33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3">
      <c r="A12" s="13" t="s">
        <v>38</v>
      </c>
      <c r="B12" s="9" t="s">
        <v>39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3"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x14ac:dyDescent="0.3"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4:16" x14ac:dyDescent="0.3"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4:16" x14ac:dyDescent="0.3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</sheetData>
  <mergeCells count="8">
    <mergeCell ref="D10:E10"/>
    <mergeCell ref="H6:K6"/>
    <mergeCell ref="A9:B9"/>
    <mergeCell ref="B2:B4"/>
    <mergeCell ref="E2:E4"/>
    <mergeCell ref="C2:D3"/>
    <mergeCell ref="H5:K5"/>
    <mergeCell ref="D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064B-3A45-4EE5-A7D9-EDC6F998679E}">
  <dimension ref="B2:N24"/>
  <sheetViews>
    <sheetView topLeftCell="A3" workbookViewId="0">
      <selection activeCell="C27" sqref="C27:C28"/>
    </sheetView>
  </sheetViews>
  <sheetFormatPr defaultRowHeight="14.4" x14ac:dyDescent="0.3"/>
  <cols>
    <col min="2" max="2" width="4.5546875" customWidth="1"/>
    <col min="3" max="3" width="19" customWidth="1"/>
    <col min="4" max="4" width="20.77734375" customWidth="1"/>
    <col min="5" max="5" width="18.33203125" customWidth="1"/>
    <col min="6" max="6" width="11.109375" customWidth="1"/>
    <col min="12" max="12" width="12.6640625" customWidth="1"/>
    <col min="13" max="13" width="19.5546875" bestFit="1" customWidth="1"/>
    <col min="14" max="14" width="12.33203125" customWidth="1"/>
  </cols>
  <sheetData>
    <row r="2" spans="2:14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32" t="s">
        <v>40</v>
      </c>
      <c r="M2" s="32" t="s">
        <v>41</v>
      </c>
      <c r="N2" s="32" t="s">
        <v>42</v>
      </c>
    </row>
    <row r="3" spans="2:14" ht="14.4" customHeight="1" x14ac:dyDescent="0.3">
      <c r="B3" s="17"/>
      <c r="C3" s="52" t="s">
        <v>19</v>
      </c>
      <c r="D3" s="58" t="s">
        <v>21</v>
      </c>
      <c r="E3" s="59"/>
      <c r="F3" s="55" t="s">
        <v>20</v>
      </c>
      <c r="G3" s="17"/>
      <c r="H3" s="17"/>
      <c r="I3" s="17"/>
      <c r="J3" s="17"/>
      <c r="K3" s="17"/>
      <c r="L3" s="33" t="s">
        <v>43</v>
      </c>
      <c r="M3" s="18" t="s">
        <v>44</v>
      </c>
      <c r="N3" s="18"/>
    </row>
    <row r="4" spans="2:14" ht="14.4" customHeight="1" x14ac:dyDescent="0.3">
      <c r="B4" s="17"/>
      <c r="C4" s="53"/>
      <c r="D4" s="60"/>
      <c r="E4" s="61"/>
      <c r="F4" s="56"/>
      <c r="G4" s="17"/>
      <c r="H4" s="17"/>
      <c r="I4" s="17"/>
      <c r="J4" s="17"/>
      <c r="K4" s="17"/>
      <c r="L4" s="33" t="s">
        <v>45</v>
      </c>
      <c r="M4" s="18" t="s">
        <v>46</v>
      </c>
      <c r="N4" s="18" t="s">
        <v>47</v>
      </c>
    </row>
    <row r="5" spans="2:14" ht="27.6" x14ac:dyDescent="0.3">
      <c r="B5" s="17"/>
      <c r="C5" s="54"/>
      <c r="D5" s="10" t="s">
        <v>22</v>
      </c>
      <c r="E5" s="11" t="s">
        <v>23</v>
      </c>
      <c r="F5" s="57"/>
      <c r="G5" s="17"/>
      <c r="H5" s="17"/>
      <c r="I5" s="17"/>
      <c r="J5" s="17"/>
      <c r="K5" s="17"/>
      <c r="L5" s="33" t="s">
        <v>48</v>
      </c>
      <c r="M5" s="18" t="s">
        <v>49</v>
      </c>
      <c r="N5" s="18"/>
    </row>
    <row r="6" spans="2:14" x14ac:dyDescent="0.3">
      <c r="B6" s="17"/>
      <c r="C6" s="9" t="s">
        <v>25</v>
      </c>
      <c r="D6" s="13">
        <v>3</v>
      </c>
      <c r="E6" s="13">
        <v>2</v>
      </c>
      <c r="F6" s="13">
        <v>240</v>
      </c>
      <c r="G6" s="17"/>
      <c r="H6" s="17"/>
      <c r="I6" s="17"/>
      <c r="J6" s="17"/>
      <c r="K6" s="17"/>
      <c r="L6" s="33" t="s">
        <v>50</v>
      </c>
      <c r="M6" s="18" t="s">
        <v>51</v>
      </c>
      <c r="N6" s="18"/>
    </row>
    <row r="7" spans="2:14" x14ac:dyDescent="0.3">
      <c r="B7" s="17"/>
      <c r="C7" s="9" t="s">
        <v>26</v>
      </c>
      <c r="D7" s="13">
        <v>2</v>
      </c>
      <c r="E7" s="13">
        <v>1</v>
      </c>
      <c r="F7" s="13">
        <v>140</v>
      </c>
      <c r="G7" s="17"/>
      <c r="H7" s="17"/>
      <c r="I7" s="17"/>
      <c r="J7" s="17"/>
      <c r="K7" s="17"/>
      <c r="L7" s="33" t="s">
        <v>52</v>
      </c>
      <c r="M7" s="18" t="s">
        <v>53</v>
      </c>
      <c r="N7" s="18"/>
    </row>
    <row r="8" spans="2:14" x14ac:dyDescent="0.3">
      <c r="B8" s="17"/>
      <c r="C8" s="12" t="s">
        <v>24</v>
      </c>
      <c r="D8" s="14">
        <v>25</v>
      </c>
      <c r="E8" s="14">
        <v>15</v>
      </c>
      <c r="F8" s="15"/>
      <c r="G8" s="17"/>
      <c r="H8" s="17"/>
      <c r="I8" s="17"/>
      <c r="J8" s="17"/>
      <c r="K8" s="17"/>
      <c r="L8" s="33" t="s">
        <v>54</v>
      </c>
      <c r="M8" s="18" t="s">
        <v>55</v>
      </c>
      <c r="N8" s="18"/>
    </row>
    <row r="9" spans="2:14" x14ac:dyDescent="0.3">
      <c r="B9" s="17"/>
      <c r="C9" s="64"/>
      <c r="D9" s="63"/>
      <c r="E9" s="63"/>
      <c r="F9" s="15"/>
      <c r="G9" s="17"/>
      <c r="H9" s="17"/>
      <c r="I9" s="17"/>
      <c r="J9" s="17"/>
      <c r="K9" s="17"/>
      <c r="L9" s="17"/>
      <c r="M9" s="17"/>
      <c r="N9" s="17"/>
    </row>
    <row r="10" spans="2:14" x14ac:dyDescent="0.3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2:14" x14ac:dyDescent="0.3">
      <c r="B11" s="17"/>
      <c r="C11" s="20" t="s">
        <v>56</v>
      </c>
      <c r="D11" s="21" t="s">
        <v>57</v>
      </c>
      <c r="E11" s="17"/>
      <c r="F11" s="17"/>
      <c r="G11" s="17"/>
      <c r="H11" s="17"/>
      <c r="I11" s="17"/>
      <c r="J11" s="17"/>
      <c r="K11" s="17"/>
      <c r="L11" s="32" t="s">
        <v>40</v>
      </c>
      <c r="M11" s="32" t="s">
        <v>41</v>
      </c>
      <c r="N11" s="17"/>
    </row>
    <row r="12" spans="2:14" x14ac:dyDescent="0.3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34" t="s">
        <v>43</v>
      </c>
      <c r="M12" s="22" t="s">
        <v>44</v>
      </c>
      <c r="N12" s="17"/>
    </row>
    <row r="13" spans="2:14" x14ac:dyDescent="0.3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35" t="s">
        <v>58</v>
      </c>
      <c r="M13" s="37" t="s">
        <v>59</v>
      </c>
      <c r="N13" s="17"/>
    </row>
    <row r="14" spans="2:14" x14ac:dyDescent="0.3">
      <c r="B14" s="20" t="s">
        <v>31</v>
      </c>
      <c r="C14" s="22"/>
      <c r="D14" s="17"/>
      <c r="E14" s="17"/>
      <c r="F14" s="27" t="s">
        <v>60</v>
      </c>
      <c r="G14" s="24"/>
      <c r="H14" s="24"/>
      <c r="I14" s="24"/>
      <c r="J14" s="17"/>
      <c r="K14" s="17"/>
      <c r="L14" s="36" t="s">
        <v>61</v>
      </c>
      <c r="M14" s="19" t="s">
        <v>62</v>
      </c>
      <c r="N14" s="17"/>
    </row>
    <row r="15" spans="2:14" x14ac:dyDescent="0.3">
      <c r="B15" s="26" t="s">
        <v>36</v>
      </c>
      <c r="C15" s="26" t="s">
        <v>63</v>
      </c>
      <c r="D15" s="17"/>
      <c r="E15" s="17"/>
      <c r="F15" s="28" t="s">
        <v>64</v>
      </c>
      <c r="G15" s="31">
        <v>3</v>
      </c>
      <c r="H15" s="31">
        <v>240</v>
      </c>
      <c r="I15" s="31">
        <v>80</v>
      </c>
      <c r="J15" s="17"/>
      <c r="K15" s="17"/>
      <c r="L15" s="17"/>
      <c r="M15" s="19" t="s">
        <v>65</v>
      </c>
      <c r="N15" s="17"/>
    </row>
    <row r="16" spans="2:14" x14ac:dyDescent="0.3">
      <c r="B16" s="23" t="s">
        <v>37</v>
      </c>
      <c r="C16" s="23" t="s">
        <v>66</v>
      </c>
      <c r="D16" s="17"/>
      <c r="E16" s="17"/>
      <c r="F16" s="27" t="s">
        <v>67</v>
      </c>
      <c r="G16" s="31">
        <v>2</v>
      </c>
      <c r="H16" s="31">
        <v>240</v>
      </c>
      <c r="I16" s="31">
        <v>120</v>
      </c>
      <c r="J16" s="17"/>
      <c r="K16" s="17"/>
      <c r="L16" s="17"/>
      <c r="M16" s="19" t="s">
        <v>68</v>
      </c>
      <c r="N16" s="17"/>
    </row>
    <row r="17" spans="2:14" x14ac:dyDescent="0.3">
      <c r="B17" s="22" t="s">
        <v>38</v>
      </c>
      <c r="C17" s="22" t="s">
        <v>69</v>
      </c>
      <c r="D17" s="17"/>
      <c r="E17" s="17"/>
      <c r="F17" s="29" t="s">
        <v>70</v>
      </c>
      <c r="G17" s="24"/>
      <c r="H17" s="24"/>
      <c r="I17" s="24"/>
      <c r="J17" s="17"/>
      <c r="K17" s="17"/>
      <c r="L17" s="17"/>
      <c r="M17" s="19" t="s">
        <v>71</v>
      </c>
      <c r="N17" s="17"/>
    </row>
    <row r="18" spans="2:14" x14ac:dyDescent="0.3">
      <c r="B18" s="17"/>
      <c r="C18" s="17"/>
      <c r="D18" s="17"/>
      <c r="E18" s="17"/>
      <c r="F18" s="30" t="s">
        <v>64</v>
      </c>
      <c r="G18" s="25">
        <v>2</v>
      </c>
      <c r="H18" s="25">
        <v>140</v>
      </c>
      <c r="I18" s="25">
        <v>70</v>
      </c>
      <c r="J18" s="17"/>
      <c r="K18" s="17"/>
      <c r="L18" s="17"/>
      <c r="M18" s="17"/>
      <c r="N18" s="17"/>
    </row>
    <row r="19" spans="2:14" x14ac:dyDescent="0.3">
      <c r="B19" s="17"/>
      <c r="C19" s="17"/>
      <c r="D19" s="17"/>
      <c r="E19" s="17"/>
      <c r="F19" s="29" t="s">
        <v>67</v>
      </c>
      <c r="G19" s="25">
        <v>1</v>
      </c>
      <c r="H19" s="25">
        <v>140</v>
      </c>
      <c r="I19" s="25">
        <v>140</v>
      </c>
      <c r="J19" s="17"/>
      <c r="K19" s="17"/>
      <c r="L19" s="17"/>
      <c r="M19" s="17"/>
      <c r="N19" s="17"/>
    </row>
    <row r="20" spans="2:14" x14ac:dyDescent="0.3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38" t="s">
        <v>72</v>
      </c>
      <c r="N20" s="17"/>
    </row>
    <row r="21" spans="2:14" x14ac:dyDescent="0.3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38" t="s">
        <v>73</v>
      </c>
      <c r="N21" s="17"/>
    </row>
    <row r="22" spans="2:14" x14ac:dyDescent="0.3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38" t="s">
        <v>74</v>
      </c>
      <c r="N22" s="17"/>
    </row>
    <row r="23" spans="2:14" x14ac:dyDescent="0.3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39" t="s">
        <v>56</v>
      </c>
      <c r="M23" s="38" t="s">
        <v>57</v>
      </c>
      <c r="N23" s="17"/>
    </row>
    <row r="24" spans="2:14" x14ac:dyDescent="0.3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</sheetData>
  <mergeCells count="3">
    <mergeCell ref="C3:C5"/>
    <mergeCell ref="F3:F5"/>
    <mergeCell ref="D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Exercise#1</vt:lpstr>
      <vt:lpstr>Exercise#2</vt:lpstr>
      <vt:lpstr>EX2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Bricelda Aguilar González</dc:creator>
  <cp:lastModifiedBy>Karla Bricelda Aguilar González</cp:lastModifiedBy>
  <dcterms:created xsi:type="dcterms:W3CDTF">2022-07-20T18:34:29Z</dcterms:created>
  <dcterms:modified xsi:type="dcterms:W3CDTF">2022-09-06T00:26:56Z</dcterms:modified>
</cp:coreProperties>
</file>